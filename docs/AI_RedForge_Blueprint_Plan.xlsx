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rchitecture" sheetId="2" state="visible" r:id="rId2"/>
    <sheet xmlns:r="http://schemas.openxmlformats.org/officeDocument/2006/relationships" name="Target Catalogue" sheetId="3" state="visible" r:id="rId3"/>
    <sheet xmlns:r="http://schemas.openxmlformats.org/officeDocument/2006/relationships" name="Technique Catalog" sheetId="4" state="visible" r:id="rId4"/>
    <sheet xmlns:r="http://schemas.openxmlformats.org/officeDocument/2006/relationships" name="Scoring Model" sheetId="5" state="visible" r:id="rId5"/>
    <sheet xmlns:r="http://schemas.openxmlformats.org/officeDocument/2006/relationships" name="Delivery Workflow" sheetId="6" state="visible" r:id="rId6"/>
    <sheet xmlns:r="http://schemas.openxmlformats.org/officeDocument/2006/relationships" name="Swarm DAG" sheetId="7" state="visible" r:id="rId7"/>
    <sheet xmlns:r="http://schemas.openxmlformats.org/officeDocument/2006/relationships" name="Agent Roster" sheetId="8" state="visible" r:id="rId8"/>
    <sheet xmlns:r="http://schemas.openxmlformats.org/officeDocument/2006/relationships" name="MCP Integration" sheetId="9" state="visible" r:id="rId9"/>
    <sheet xmlns:r="http://schemas.openxmlformats.org/officeDocument/2006/relationships" name="Console UI" sheetId="10" state="visible" r:id="rId10"/>
    <sheet xmlns:r="http://schemas.openxmlformats.org/officeDocument/2006/relationships" name="Build Plan" sheetId="11" state="visible" r:id="rId11"/>
    <sheet xmlns:r="http://schemas.openxmlformats.org/officeDocument/2006/relationships" name="Exec Milestones" sheetId="12" state="visible" r:id="rId12"/>
    <sheet xmlns:r="http://schemas.openxmlformats.org/officeDocument/2006/relationships" name="KPI Tracker" sheetId="13" state="visible" r:id="rId13"/>
    <sheet xmlns:r="http://schemas.openxmlformats.org/officeDocument/2006/relationships" name="Risk Register" sheetId="14" state="visible" r:id="rId14"/>
    <sheet xmlns:r="http://schemas.openxmlformats.org/officeDocument/2006/relationships" name="Context Memory" sheetId="15" state="visible" r:id="rId15"/>
    <sheet xmlns:r="http://schemas.openxmlformats.org/officeDocument/2006/relationships" name="Review" sheetId="16" state="visible" r:id="rId16"/>
    <sheet xmlns:r="http://schemas.openxmlformats.org/officeDocument/2006/relationships" name="Sources" sheetId="17" state="visible" r:id="rId17"/>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Noto Sans SC"/>
      <color rgb="001B2A4A"/>
      <sz val="16"/>
    </font>
    <font>
      <name val="Noto Sans SC"/>
      <color rgb="008C8A84"/>
      <sz val="9"/>
    </font>
    <font>
      <name val="Noto Sans SC"/>
      <color rgb="001B2A4A"/>
      <sz val="12"/>
    </font>
    <font>
      <name val="Noto Sans SC"/>
      <color rgb="0037352F"/>
      <sz val="11"/>
    </font>
    <font>
      <name val="Noto Sans SC"/>
      <color rgb="00FFFFFF"/>
      <sz val="11"/>
    </font>
    <font>
      <name val="Noto Sans SC"/>
      <color rgb="000000FF"/>
      <sz val="11"/>
    </font>
    <font>
      <name val="Noto Sans SC"/>
      <color rgb="001B2A4A"/>
      <sz val="11"/>
    </font>
    <font>
      <name val="Noto Sans SC"/>
      <color rgb="001B2A4A"/>
      <sz val="9"/>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wrapText="1"/>
    </xf>
    <xf numFmtId="0" fontId="5" fillId="2" borderId="1" applyAlignment="1" pivotButton="0" quotePrefix="0" xfId="0">
      <alignment horizontal="center" vertical="center" wrapText="1"/>
    </xf>
    <xf numFmtId="0" fontId="4" fillId="3" borderId="0" applyAlignment="1" pivotButton="0" quotePrefix="0" xfId="0">
      <alignment horizontal="left" vertical="center" wrapText="1"/>
    </xf>
    <xf numFmtId="0" fontId="4" fillId="4" borderId="0" applyAlignment="1" pivotButton="0" quotePrefix="0" xfId="0">
      <alignment horizontal="left" vertical="center" wrapText="1"/>
    </xf>
    <xf numFmtId="0" fontId="4" fillId="3" borderId="0" applyAlignment="1" pivotButton="0" quotePrefix="0" xfId="0">
      <alignment horizontal="right" vertical="center" wrapText="1"/>
    </xf>
    <xf numFmtId="0" fontId="4" fillId="4" borderId="0" applyAlignment="1" pivotButton="0" quotePrefix="0" xfId="0">
      <alignment horizontal="right" vertical="center" wrapText="1"/>
    </xf>
    <xf numFmtId="9" fontId="6" fillId="3" borderId="0" applyAlignment="1" pivotButton="0" quotePrefix="0" xfId="0">
      <alignment horizontal="right" vertical="center" wrapText="1"/>
    </xf>
    <xf numFmtId="1" fontId="6" fillId="3" borderId="0" applyAlignment="1" pivotButton="0" quotePrefix="0" xfId="0">
      <alignment horizontal="right" vertical="center" wrapText="1"/>
    </xf>
    <xf numFmtId="164" fontId="4" fillId="3" borderId="0" applyAlignment="1" pivotButton="0" quotePrefix="0" xfId="0">
      <alignment horizontal="right" vertical="center" wrapText="1"/>
    </xf>
    <xf numFmtId="9" fontId="6" fillId="4" borderId="0" applyAlignment="1" pivotButton="0" quotePrefix="0" xfId="0">
      <alignment horizontal="right" vertical="center" wrapText="1"/>
    </xf>
    <xf numFmtId="1" fontId="6" fillId="4" borderId="0" applyAlignment="1" pivotButton="0" quotePrefix="0" xfId="0">
      <alignment horizontal="right" vertical="center" wrapText="1"/>
    </xf>
    <xf numFmtId="164" fontId="4" fillId="4" borderId="0" applyAlignment="1" pivotButton="0" quotePrefix="0" xfId="0">
      <alignment horizontal="right" vertical="center" wrapText="1"/>
    </xf>
    <xf numFmtId="0" fontId="7" fillId="5" borderId="2" pivotButton="0" quotePrefix="0" xfId="0"/>
    <xf numFmtId="9" fontId="7" fillId="5" borderId="2" applyAlignment="1" pivotButton="0" quotePrefix="0" xfId="0">
      <alignment horizontal="right" vertical="center" wrapText="1"/>
    </xf>
    <xf numFmtId="0" fontId="3" fillId="3" borderId="0" applyAlignment="1" pivotButton="0" quotePrefix="0" xfId="0">
      <alignment horizontal="right" vertical="center" wrapText="1"/>
    </xf>
    <xf numFmtId="0" fontId="3" fillId="4" borderId="0" applyAlignment="1" pivotButton="0" quotePrefix="0" xfId="0">
      <alignment horizontal="right" vertical="center" wrapText="1"/>
    </xf>
    <xf numFmtId="1" fontId="4" fillId="3" borderId="0" applyAlignment="1" pivotButton="0" quotePrefix="0" xfId="0">
      <alignment horizontal="right" vertical="center" wrapText="1"/>
    </xf>
    <xf numFmtId="0" fontId="6" fillId="3" borderId="0" applyAlignment="1" pivotButton="0" quotePrefix="0" xfId="0">
      <alignment horizontal="left" vertical="center" wrapText="1"/>
    </xf>
    <xf numFmtId="0" fontId="4" fillId="3" borderId="0" applyAlignment="1" pivotButton="0" quotePrefix="0" xfId="0">
      <alignment horizontal="center" vertical="center"/>
    </xf>
    <xf numFmtId="1" fontId="4" fillId="4" borderId="0" applyAlignment="1" pivotButton="0" quotePrefix="0" xfId="0">
      <alignment horizontal="right" vertical="center" wrapText="1"/>
    </xf>
    <xf numFmtId="0" fontId="6" fillId="4" borderId="0" applyAlignment="1" pivotButton="0" quotePrefix="0" xfId="0">
      <alignment horizontal="left" vertical="center" wrapText="1"/>
    </xf>
    <xf numFmtId="0" fontId="4" fillId="4" borderId="0" applyAlignment="1" pivotButton="0" quotePrefix="0" xfId="0">
      <alignment horizontal="center" vertical="center"/>
    </xf>
    <xf numFmtId="0" fontId="6" fillId="3" borderId="0" applyAlignment="1" pivotButton="0" quotePrefix="0" xfId="0">
      <alignment horizontal="right" vertical="center" wrapText="1"/>
    </xf>
    <xf numFmtId="0" fontId="6" fillId="4" borderId="0" applyAlignment="1" pivotButton="0" quotePrefix="0" xfId="0">
      <alignment horizontal="right" vertical="center" wrapText="1"/>
    </xf>
    <xf numFmtId="164" fontId="7" fillId="5" borderId="2" applyAlignment="1" pivotButton="0" quotePrefix="0" xfId="0">
      <alignment horizontal="right" vertical="center" wrapText="1"/>
    </xf>
    <xf numFmtId="0" fontId="8" fillId="3" borderId="0" applyAlignment="1" pivotButton="0" quotePrefix="0" xfId="0">
      <alignment horizontal="left" vertical="center" wrapText="1"/>
    </xf>
    <xf numFmtId="0" fontId="8" fillId="4" borderId="0" applyAlignment="1" pivotButton="0" quotePrefix="0" xfId="0">
      <alignment horizontal="left" vertical="center" wrapText="1"/>
    </xf>
  </cellXfs>
  <cellStyles count="1">
    <cellStyle name="Normal" xfId="0" builtinId="0" hidden="0"/>
  </cellStyles>
  <dxfs count="3">
    <dxf>
      <font>
        <color rgb="001B7D46"/>
      </font>
      <fill>
        <patternFill patternType="solid">
          <fgColor rgb="00E8F5E9"/>
        </patternFill>
      </fill>
    </dxf>
    <dxf>
      <font>
        <color rgb="00D4820A"/>
      </font>
      <fill>
        <patternFill patternType="solid">
          <fgColor rgb="00FEF9E7"/>
        </patternFill>
      </fill>
    </dxf>
    <dxf>
      <font>
        <color rgb="00C0392B"/>
      </font>
      <fill>
        <patternFill patternType="solid">
          <fgColor rgb="00FDED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300" b="0">
                <a:latin typeface="Noto Sans SC"/>
                <a:ea typeface="Noto Sans SC"/>
              </a:defRPr>
            </a:pPr>
            <a:r>
              <a:rPr sz="1300" b="0">
                <a:latin typeface="Noto Sans SC"/>
                <a:ea typeface="Noto Sans SC"/>
              </a:rPr>
              <a:t>Technique Catalog Coverage</a:t>
            </a:r>
          </a:p>
        </rich>
      </tx>
    </title>
    <plotArea>
      <barChart>
        <barDir val="bar"/>
        <grouping val="clustered"/>
        <ser>
          <idx val="0"/>
          <order val="0"/>
          <tx>
            <strRef>
              <f>'Read Me'!C44</f>
            </strRef>
          </tx>
          <spPr>
            <a:solidFill xmlns:a="http://schemas.openxmlformats.org/drawingml/2006/main">
              <a:srgbClr val="1B2A4A"/>
            </a:solidFill>
            <a:ln xmlns:a="http://schemas.openxmlformats.org/drawingml/2006/main">
              <a:solidFill>
                <a:srgbClr val="1B2A4A"/>
              </a:solidFill>
              <a:prstDash val="solid"/>
            </a:ln>
          </spPr>
          <cat>
            <strRef>
              <f>'Read Me'!$B${r2 + 2}:$B${end2}</f>
              <strCache>
                <ptCount val="8"/>
                <pt idx="0">
                  <v>Injection (PIN)</v>
                </pt>
                <pt idx="1">
                  <v>Disclosure (EXF)</v>
                </pt>
                <pt idx="2">
                  <v>Output (OUT)</v>
                </pt>
                <pt idx="3">
                  <v>Agency (AGE)</v>
                </pt>
                <pt idx="4">
                  <v>Memory (MEM)</v>
                </pt>
                <pt idx="5">
                  <v>Consumption (CON)</v>
                </pt>
                <pt idx="6">
                  <v>Misinformation (HAL)</v>
                </pt>
                <pt idx="7">
                  <v>Supply chain (SUP)</v>
                </pt>
              </strCache>
            </strRef>
          </cat>
          <val>
            <numRef>
              <f>'Read Me'!$C$45:$C$52</f>
              <numCache>
                <ptCount val="8"/>
                <pt idx="0">
                  <v>10</v>
                </pt>
                <pt idx="1">
                  <v>7</v>
                </pt>
                <pt idx="2">
                  <v>4</v>
                </pt>
                <pt idx="3">
                  <v>7</v>
                </pt>
                <pt idx="4">
                  <v>3</v>
                </pt>
                <pt idx="5">
                  <v>4</v>
                </pt>
                <pt idx="6">
                  <v>3</v>
                </pt>
                <pt idx="7">
                  <v>2</v>
                </pt>
              </numCache>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43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G52"/>
  <sheetViews>
    <sheetView showGridLines="0" workbookViewId="0">
      <selection activeCell="A1" sqref="A1"/>
    </sheetView>
  </sheetViews>
  <sheetFormatPr baseColWidth="8" defaultRowHeight="15"/>
  <cols>
    <col width="3" customWidth="1" min="1" max="1"/>
    <col width="30" customWidth="1" min="2" max="2"/>
    <col width="44" customWidth="1" min="3" max="3"/>
    <col width="34" customWidth="1" min="4" max="4"/>
    <col width="30" customWidth="1" min="5" max="5"/>
    <col width="26" customWidth="1" min="6" max="6"/>
    <col width="12" customWidth="1" min="7" max="7"/>
  </cols>
  <sheetData>
    <row r="1" ht="15" customHeight="1"/>
    <row r="2" ht="32" customHeight="1">
      <c r="B2" s="1" t="inlineStr">
        <is>
          <t>AI-RedForge — Blueprint &amp; Execution Plan</t>
        </is>
      </c>
    </row>
    <row r="3">
      <c r="B3" s="2" t="inlineStr">
        <is>
          <t>Amdocs Agentic AI Red-Team Factory · v1.1 · Sep 2026 (v1.1 Sep 10: +Console UI, +Exec Milestones, +Context Memory) · Offering #1 — Agentic Assurance Suite flagship</t>
        </is>
      </c>
    </row>
    <row r="5" ht="24" customHeight="1">
      <c r="B5" s="3" t="inlineStr">
        <is>
          <t>Why This Wins</t>
        </is>
      </c>
    </row>
    <row r="6" ht="20" customHeight="1">
      <c r="B6" s="4" t="inlineStr">
        <is>
          <t>1. Framework: AI-RedForge — continuous adversarial testing of LLM apps, copilots and agents against OWASP LLM + Agentic Top 10.</t>
        </is>
      </c>
    </row>
    <row r="7" ht="20" customHeight="1">
      <c r="B7" s="4" t="inlineStr">
        <is>
          <t>2. Market hook: ~$2.3B (2026) growing ~28% CAGR; EU AI Act in force since Aug 2026 — procurement now demands AI-security evidence.</t>
        </is>
      </c>
    </row>
    <row r="8" ht="20" customHeight="1">
      <c r="B8" s="4" t="inlineStr">
        <is>
          <t>3. Differentiator: canary-proven exfiltration, dual-mode judging, bounded mutation rounds, audit-grade regulatory dossier.</t>
        </is>
      </c>
    </row>
    <row r="9" ht="20" customHeight="1">
      <c r="B9" s="4" t="inlineStr">
        <is>
          <t>4. Pairs with offering #2 (MCP/agent supply-chain assurance) as the Agentic Assurance Suite land-grab.</t>
        </is>
      </c>
    </row>
    <row r="10" ht="20" customHeight="1">
      <c r="B10" s="4" t="inlineStr">
        <is>
          <t>5. Critical path: 12-week build &gt; internal PoC wk10 &gt; lighthouse CSP copilot beta wk12.</t>
        </is>
      </c>
    </row>
    <row r="12" ht="24" customHeight="1">
      <c r="B12" s="3" t="inlineStr">
        <is>
          <t>How to Use</t>
        </is>
      </c>
    </row>
    <row r="13" ht="20" customHeight="1">
      <c r="B13" s="4" t="inlineStr">
        <is>
          <t>1. This workbook is the execution instrument for AI-RedForge — the Agentic AI Red-Team Factory blueprint.</t>
        </is>
      </c>
    </row>
    <row r="14" ht="20" customHeight="1">
      <c r="B14" s="4" t="inlineStr">
        <is>
          <t>2. Blue cells are editable inputs: scorecard weights/actuals, KPI actuals, risk ratings, task status/%.</t>
        </is>
      </c>
    </row>
    <row r="15" ht="20" customHeight="1">
      <c r="B15" s="4" t="inlineStr">
        <is>
          <t>3. Build Plan: status dropdown per task + live 12-week Gantt rendering from Start/End weeks.</t>
        </is>
      </c>
    </row>
    <row r="16" ht="20" customHeight="1">
      <c r="B16" s="4" t="inlineStr">
        <is>
          <t>4. KPI Tracker: enter Actuals; status auto-computes respecting Higher/Lower-is-better direction.</t>
        </is>
      </c>
    </row>
    <row r="17" ht="20" customHeight="1">
      <c r="B17" s="4" t="inlineStr">
        <is>
          <t>5. Risk Register: set Likelihood/Impact 1-5; score and RAG color update live (&gt;=15 red, &gt;=8 amber).</t>
        </is>
      </c>
    </row>
    <row r="18" ht="20" customHeight="1">
      <c r="B18" s="4" t="inlineStr">
        <is>
          <t>6. Scoring Model: demo the AI Security Scorecard live in client meetings by editing weights/actuals.</t>
        </is>
      </c>
    </row>
    <row r="19" ht="20" customHeight="1">
      <c r="B19" s="4" t="inlineStr">
        <is>
          <t>7. Review sheet must show all PASS after any edit; validate before circulating.</t>
        </is>
      </c>
    </row>
    <row r="20" ht="20" customHeight="1">
      <c r="B20" s="4" t="inlineStr">
        <is>
          <t>8. All market figures directional (Sep 2026) — see Sources. Sensitive-technique execution requires signed ROAI.</t>
        </is>
      </c>
    </row>
    <row r="21" ht="20" customHeight="1">
      <c r="B21" s="4" t="inlineStr">
        <is>
          <t>9. v1.1: Console UI / Exec Milestones / Context Memory sheets carry session-to-session project context — update Exec Milestones status as work proceeds.</t>
        </is>
      </c>
    </row>
    <row r="23" ht="24" customHeight="1">
      <c r="B23" s="3" t="inlineStr">
        <is>
          <t>Workbook Map</t>
        </is>
      </c>
    </row>
    <row r="24" ht="28" customHeight="1">
      <c r="B24" s="5" t="inlineStr">
        <is>
          <t>Sheet</t>
        </is>
      </c>
      <c r="C24" s="5" t="inlineStr">
        <is>
          <t>Contents</t>
        </is>
      </c>
    </row>
    <row r="25" ht="22" customHeight="1">
      <c r="B25" s="6" t="inlineStr">
        <is>
          <t>Architecture</t>
        </is>
      </c>
      <c r="C25" s="6" t="inlineStr">
        <is>
          <t>6 layers L0-L5 + 7 design tenets</t>
        </is>
      </c>
    </row>
    <row r="26" ht="22" customHeight="1">
      <c r="B26" s="7" t="inlineStr">
        <is>
          <t>Target Catalogue</t>
        </is>
      </c>
      <c r="C26" s="7" t="inlineStr">
        <is>
          <t>10 target classes with interfaces, packs, prod-safety notes</t>
        </is>
      </c>
    </row>
    <row r="27" ht="22" customHeight="1">
      <c r="B27" s="6" t="inlineStr">
        <is>
          <t>Technique Catalog</t>
        </is>
      </c>
      <c r="C27" s="6" t="inlineStr">
        <is>
          <t>40 attack techniques mapped to OWASP LLM/Agentic Top 10 + tools + gate levels</t>
        </is>
      </c>
    </row>
    <row r="28" ht="22" customHeight="1">
      <c r="B28" s="7" t="inlineStr">
        <is>
          <t>Scoring Model</t>
        </is>
      </c>
      <c r="C28" s="7" t="inlineStr">
        <is>
          <t>Live AI Security Scorecard calculator</t>
        </is>
      </c>
    </row>
    <row r="29" ht="22" customHeight="1">
      <c r="B29" s="6" t="inlineStr">
        <is>
          <t>Delivery Workflow</t>
        </is>
      </c>
      <c r="C29" s="6" t="inlineStr">
        <is>
          <t>Phases A0-A6 with gates, inputs, outputs, owners</t>
        </is>
      </c>
    </row>
    <row r="30" ht="22" customHeight="1">
      <c r="B30" s="7" t="inlineStr">
        <is>
          <t>Swarm DAG</t>
        </is>
      </c>
      <c r="C30" s="7" t="inlineStr">
        <is>
          <t>15-node execution graph + 14-artifact edge manifest</t>
        </is>
      </c>
    </row>
    <row r="31" ht="22" customHeight="1">
      <c r="B31" s="6" t="inlineStr">
        <is>
          <t>Agent Roster</t>
        </is>
      </c>
      <c r="C31" s="6" t="inlineStr">
        <is>
          <t>14 agents: mission, tools, guardrails, autonomy</t>
        </is>
      </c>
    </row>
    <row r="32" ht="22" customHeight="1">
      <c r="B32" s="7" t="inlineStr">
        <is>
          <t>MCP Integration</t>
        </is>
      </c>
      <c r="C32" s="7" t="inlineStr">
        <is>
          <t>13 tool servers with priorities and estimates</t>
        </is>
      </c>
    </row>
    <row r="33" ht="22" customHeight="1">
      <c r="B33" s="6" t="inlineStr">
        <is>
          <t>Console UI</t>
        </is>
      </c>
      <c r="C33" s="6" t="inlineStr">
        <is>
          <t>v1.1 — Dual-mode RedForge Console: 10 screens, HUD/JARVIS layer, stack &amp; personas</t>
        </is>
      </c>
    </row>
    <row r="34" ht="22" customHeight="1">
      <c r="B34" s="7" t="inlineStr">
        <is>
          <t>Build Plan</t>
        </is>
      </c>
      <c r="C34" s="7" t="inlineStr">
        <is>
          <t>38 tasks (v1.1: T23 split into T23a/b/c), owners, dependencies, live 12-week Gantt</t>
        </is>
      </c>
    </row>
    <row r="35" ht="22" customHeight="1">
      <c r="B35" s="6" t="inlineStr">
        <is>
          <t>Exec Milestones</t>
        </is>
      </c>
      <c r="C35" s="6" t="inlineStr">
        <is>
          <t>v1.1 — Demo execution plan M0-M6c with acceptance gates + live status</t>
        </is>
      </c>
    </row>
    <row r="36" ht="22" customHeight="1">
      <c r="B36" s="7" t="inlineStr">
        <is>
          <t>KPI Tracker</t>
        </is>
      </c>
      <c r="C36" s="7" t="inlineStr">
        <is>
          <t>14 KPIs with direction-aware status</t>
        </is>
      </c>
    </row>
    <row r="37" ht="22" customHeight="1">
      <c r="B37" s="6" t="inlineStr">
        <is>
          <t>Risk Register</t>
        </is>
      </c>
      <c r="C37" s="6" t="inlineStr">
        <is>
          <t>10 risks with live L x I scoring and RAG colors</t>
        </is>
      </c>
    </row>
    <row r="38" ht="22" customHeight="1">
      <c r="B38" s="7" t="inlineStr">
        <is>
          <t>Context Memory</t>
        </is>
      </c>
      <c r="C38" s="7" t="inlineStr">
        <is>
          <t>v1.1 — Locked decisions D1-D7, environment readiness 97.2%, API quirks, session log</t>
        </is>
      </c>
    </row>
    <row r="39" ht="22" customHeight="1">
      <c r="B39" s="6" t="inlineStr">
        <is>
          <t>Review</t>
        </is>
      </c>
      <c r="C39" s="6" t="inlineStr">
        <is>
          <t>Live cross-validation — all must show PASS</t>
        </is>
      </c>
    </row>
    <row r="40" ht="22" customHeight="1">
      <c r="B40" s="7" t="inlineStr">
        <is>
          <t>Sources</t>
        </is>
      </c>
      <c r="C40" s="7" t="inlineStr">
        <is>
          <t>Reference base + disclaimer</t>
        </is>
      </c>
    </row>
    <row r="43" ht="24" customHeight="1">
      <c r="B43" s="3" t="inlineStr">
        <is>
          <t>Technique Coverage by OWASP Category (40-technique catalog v1)</t>
        </is>
      </c>
    </row>
    <row r="44" ht="28" customHeight="1">
      <c r="B44" s="5" t="inlineStr">
        <is>
          <t>Category</t>
        </is>
      </c>
      <c r="C44" s="5" t="inlineStr">
        <is>
          <t>Techniques</t>
        </is>
      </c>
    </row>
    <row r="45" ht="22" customHeight="1">
      <c r="B45" s="6" t="inlineStr">
        <is>
          <t>Injection (PIN)</t>
        </is>
      </c>
      <c r="C45" s="8" t="n">
        <v>10</v>
      </c>
    </row>
    <row r="46" ht="22" customHeight="1">
      <c r="B46" s="7" t="inlineStr">
        <is>
          <t>Disclosure (EXF)</t>
        </is>
      </c>
      <c r="C46" s="9" t="n">
        <v>7</v>
      </c>
    </row>
    <row r="47" ht="22" customHeight="1">
      <c r="B47" s="6" t="inlineStr">
        <is>
          <t>Output (OUT)</t>
        </is>
      </c>
      <c r="C47" s="8" t="n">
        <v>4</v>
      </c>
    </row>
    <row r="48" ht="22" customHeight="1">
      <c r="B48" s="7" t="inlineStr">
        <is>
          <t>Agency (AGE)</t>
        </is>
      </c>
      <c r="C48" s="9" t="n">
        <v>7</v>
      </c>
    </row>
    <row r="49" ht="22" customHeight="1">
      <c r="B49" s="6" t="inlineStr">
        <is>
          <t>Memory (MEM)</t>
        </is>
      </c>
      <c r="C49" s="8" t="n">
        <v>3</v>
      </c>
    </row>
    <row r="50" ht="22" customHeight="1">
      <c r="B50" s="7" t="inlineStr">
        <is>
          <t>Consumption (CON)</t>
        </is>
      </c>
      <c r="C50" s="9" t="n">
        <v>4</v>
      </c>
    </row>
    <row r="51" ht="22" customHeight="1">
      <c r="B51" s="6" t="inlineStr">
        <is>
          <t>Misinformation (HAL)</t>
        </is>
      </c>
      <c r="C51" s="8" t="n">
        <v>3</v>
      </c>
    </row>
    <row r="52" ht="22" customHeight="1">
      <c r="B52" s="7" t="inlineStr">
        <is>
          <t>Supply chain (SUP)</t>
        </is>
      </c>
      <c r="C52" s="9" t="n">
        <v>2</v>
      </c>
    </row>
  </sheetData>
  <mergeCells count="15">
    <mergeCell ref="B2:G2"/>
    <mergeCell ref="B16:G16"/>
    <mergeCell ref="B19:G19"/>
    <mergeCell ref="B10:G10"/>
    <mergeCell ref="B20:G20"/>
    <mergeCell ref="B14:G14"/>
    <mergeCell ref="B17:G17"/>
    <mergeCell ref="B9:G9"/>
    <mergeCell ref="B8:G8"/>
    <mergeCell ref="B18:G18"/>
    <mergeCell ref="B13:G13"/>
    <mergeCell ref="B21:G21"/>
    <mergeCell ref="B15:G15"/>
    <mergeCell ref="B7:G7"/>
    <mergeCell ref="B6:G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33" customWidth="1" min="3" max="3"/>
    <col width="46" customWidth="1" min="4" max="4"/>
    <col width="46" customWidth="1" min="5" max="5"/>
    <col width="24" customWidth="1" min="6" max="6"/>
  </cols>
  <sheetData>
    <row r="1" ht="15" customHeight="1"/>
    <row r="2" ht="32" customHeight="1">
      <c r="B2" s="1" t="inlineStr">
        <is>
          <t>Architecture — Six Layers &amp; Design Tenets</t>
        </is>
      </c>
    </row>
    <row r="3" ht="8" customHeight="1"/>
    <row r="4" ht="28" customHeight="1">
      <c r="B4" s="5" t="inlineStr">
        <is>
          <t>Layer</t>
        </is>
      </c>
      <c r="C4" s="5" t="inlineStr">
        <is>
          <t>Name</t>
        </is>
      </c>
      <c r="D4" s="5" t="inlineStr">
        <is>
          <t>Responsibility</t>
        </is>
      </c>
      <c r="E4" s="5" t="inlineStr">
        <is>
          <t>Key Tech</t>
        </is>
      </c>
      <c r="F4" s="5" t="inlineStr">
        <is>
          <t>Build vs Assemble</t>
        </is>
      </c>
    </row>
    <row r="5" ht="70" customHeight="1">
      <c r="B5" s="6" t="inlineStr">
        <is>
          <t>L0</t>
        </is>
      </c>
      <c r="C5" s="6" t="inlineStr">
        <is>
          <t>Target interface &amp; collection</t>
        </is>
      </c>
      <c r="D5" s="6" t="inlineStr">
        <is>
          <t>Connect to every target class read/write as an attacker would: model APIs, agent endpoints, MCP tool schemas, chat UIs, RAG corpora samples</t>
        </is>
      </c>
      <c r="E5" s="6" t="inlineStr">
        <is>
          <t>OpenAI-compatible adapters, agent/MCP introspection, browser automation, gateway logs</t>
        </is>
      </c>
      <c r="F5" s="6" t="inlineStr">
        <is>
          <t>Assemble (wrappers)</t>
        </is>
      </c>
    </row>
    <row r="6" ht="54" customHeight="1">
      <c r="B6" s="7" t="inlineStr">
        <is>
          <t>L1</t>
        </is>
      </c>
      <c r="C6" s="7" t="inlineStr">
        <is>
          <t>Threat &amp; attack knowledge model</t>
        </is>
      </c>
      <c r="D6" s="7" t="inlineStr">
        <is>
          <t>Technique library mapped to OWASP LLM Top 10 (2025) + Agentic Top 10 (2026) + MITRE ATLAS; payload corpus; target catalogue</t>
        </is>
      </c>
      <c r="E6" s="7" t="inlineStr">
        <is>
          <t>40-technique catalog v1, payload seeds, persona library</t>
        </is>
      </c>
      <c r="F6" s="7" t="inlineStr">
        <is>
          <t>Build — core IP</t>
        </is>
      </c>
    </row>
    <row r="7" ht="54" customHeight="1">
      <c r="B7" s="6" t="inlineStr">
        <is>
          <t>L2</t>
        </is>
      </c>
      <c r="C7" s="6" t="inlineStr">
        <is>
          <t>Attack engine</t>
        </is>
      </c>
      <c r="D7" s="6" t="inlineStr">
        <is>
          <t>Attack generation (mutation, multi-turn strategy), campaign execution, sandboxing, dual-mode judging</t>
        </is>
      </c>
      <c r="E7" s="6" t="inlineStr">
        <is>
          <t>PyRIT pipelines, Garak probes, promptfoo suites, Giskard scans, judge framework</t>
        </is>
      </c>
      <c r="F7" s="6" t="inlineStr">
        <is>
          <t>Build — core IP</t>
        </is>
      </c>
    </row>
    <row r="8" ht="38" customHeight="1">
      <c r="B8" s="7" t="inlineStr">
        <is>
          <t>L3</t>
        </is>
      </c>
      <c r="C8" s="7" t="inlineStr">
        <is>
          <t>Agentic orchestration</t>
        </is>
      </c>
      <c r="D8" s="7" t="inlineStr">
        <is>
          <t>Campaign planning, parallel red operators, bounded mutation rounds, human gates</t>
        </is>
      </c>
      <c r="E8" s="7" t="inlineStr">
        <is>
          <t>LangGraph, MCP tool-servers, Postgres checkpointer</t>
        </is>
      </c>
      <c r="F8" s="7" t="inlineStr">
        <is>
          <t>Build — differentiator</t>
        </is>
      </c>
    </row>
    <row r="9" ht="54" customHeight="1">
      <c r="B9" s="6" t="inlineStr">
        <is>
          <t>L4</t>
        </is>
      </c>
      <c r="C9" s="6" t="inlineStr">
        <is>
          <t>Evidence, scoring &amp; reporting</t>
        </is>
      </c>
      <c r="D9" s="6" t="inlineStr">
        <is>
          <t>Findings schema, AI Security Scorecard, regulatory dossier (EU AI Act Art 15 / ISO 42001), report generation</t>
        </is>
      </c>
      <c r="E9" s="6" t="inlineStr">
        <is>
          <t>Postgres + object store, OPA, citation-linted reports</t>
        </is>
      </c>
      <c r="F9" s="6" t="inlineStr">
        <is>
          <t>Build (light)</t>
        </is>
      </c>
    </row>
    <row r="10" ht="54" customHeight="1">
      <c r="B10" s="7" t="inlineStr">
        <is>
          <t>L5</t>
        </is>
      </c>
      <c r="C10" s="7" t="inlineStr">
        <is>
          <t>Delivery plane</t>
        </is>
      </c>
      <c r="D10" s="7" t="inlineStr">
        <is>
          <t>Client portal, CI/CD gate on model &amp; guardrail releases, continuous regression mode</t>
        </is>
      </c>
      <c r="E10" s="7" t="inlineStr">
        <is>
          <t>Hub portal tooling, CI gate, REST</t>
        </is>
      </c>
      <c r="F10" s="7" t="inlineStr">
        <is>
          <t>Assemble</t>
        </is>
      </c>
    </row>
    <row r="13" ht="24" customHeight="1">
      <c r="B13" s="3" t="inlineStr">
        <is>
          <t>Design Tenets (invariants enforced in code review)</t>
        </is>
      </c>
    </row>
    <row r="14" ht="28" customHeight="1">
      <c r="B14" s="5" t="inlineStr">
        <is>
          <t>#</t>
        </is>
      </c>
      <c r="C14" s="5" t="inlineStr">
        <is>
          <t>Tenet</t>
        </is>
      </c>
    </row>
    <row r="15" ht="22" customHeight="1">
      <c r="B15" s="6" t="inlineStr">
        <is>
          <t>T1</t>
        </is>
      </c>
      <c r="C15" s="6" t="inlineStr">
        <is>
          <t>Attack the system, not the vendor demo: test the deployed app + guardrails + tools end-to-end, never a bare model endpoint.</t>
        </is>
      </c>
    </row>
    <row r="16" ht="22" customHeight="1">
      <c r="B16" s="7" t="inlineStr">
        <is>
          <t>T2</t>
        </is>
      </c>
      <c r="C16" s="7" t="inlineStr">
        <is>
          <t>Dual-mode judging: rule-based detectors first, LLM-as-judge second, human confirmation for criticals — no single-judge verdicts.</t>
        </is>
      </c>
    </row>
    <row r="17" ht="22" customHeight="1">
      <c r="B17" s="6" t="inlineStr">
        <is>
          <t>T3</t>
        </is>
      </c>
      <c r="C17" s="6" t="inlineStr">
        <is>
          <t>Bounded campaign rounds: operator&gt;judge&gt;mutator loop capped at 3 rounds with diminishing-returns cutoff — evolution, not endless fuzzing.</t>
        </is>
      </c>
    </row>
    <row r="18" ht="22" customHeight="1">
      <c r="B18" s="7" t="inlineStr">
        <is>
          <t>T4</t>
        </is>
      </c>
      <c r="C18" s="7" t="inlineStr">
        <is>
          <t>No real data out: exfiltration proven via canaries and honeytokens only; real PII never leaves the target boundary.</t>
        </is>
      </c>
    </row>
    <row r="19" ht="22" customHeight="1">
      <c r="B19" s="6" t="inlineStr">
        <is>
          <t>T5</t>
        </is>
      </c>
      <c r="C19" s="6" t="inlineStr">
        <is>
          <t>Production attacks and side-effect-capable tool actions only behind Gatekeeper approval (ROAI = rules of AI engagement).</t>
        </is>
      </c>
    </row>
    <row r="20" ht="22" customHeight="1">
      <c r="B20" s="7" t="inlineStr">
        <is>
          <t>T6</t>
        </is>
      </c>
      <c r="C20" s="7" t="inlineStr">
        <is>
          <t>Single-writer rule: only Judge marks success-candidates, only Verifier confirms findings, only OPA derives severity.</t>
        </is>
      </c>
    </row>
    <row r="21" ht="22" customHeight="1">
      <c r="B21" s="6" t="inlineStr">
        <is>
          <t>T7</t>
        </is>
      </c>
      <c r="C21" s="6" t="inlineStr">
        <is>
          <t>Every finding ships with full transcript evidence + judge confidence + human-confirmed flag — audit-grade by construction.</t>
        </is>
      </c>
    </row>
  </sheetData>
  <mergeCells count="1">
    <mergeCell ref="B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34" customWidth="1" min="3" max="3"/>
    <col width="34" customWidth="1" min="4" max="4"/>
    <col width="34" customWidth="1" min="5" max="5"/>
    <col width="23" customWidth="1" min="6" max="6"/>
    <col width="34" customWidth="1" min="7" max="7"/>
    <col width="34" customWidth="1" min="8" max="8"/>
  </cols>
  <sheetData>
    <row r="1" ht="15" customHeight="1"/>
    <row r="2" ht="32" customHeight="1">
      <c r="B2" s="1" t="inlineStr">
        <is>
          <t>Target Asset Catalogue — 10 Target Classes</t>
        </is>
      </c>
    </row>
    <row r="3" ht="8" customHeight="1"/>
    <row r="4" ht="28" customHeight="1">
      <c r="B4" s="5" t="inlineStr">
        <is>
          <t>#</t>
        </is>
      </c>
      <c r="C4" s="5" t="inlineStr">
        <is>
          <t>Target Class</t>
        </is>
      </c>
      <c r="D4" s="5" t="inlineStr">
        <is>
          <t>Examples</t>
        </is>
      </c>
      <c r="E4" s="5" t="inlineStr">
        <is>
          <t>Interface (L0)</t>
        </is>
      </c>
      <c r="F4" s="5" t="inlineStr">
        <is>
          <t>Attack Packs</t>
        </is>
      </c>
      <c r="G4" s="5" t="inlineStr">
        <is>
          <t>Special Risks</t>
        </is>
      </c>
      <c r="H4" s="5" t="inlineStr">
        <is>
          <t>Prod-Safety Notes</t>
        </is>
      </c>
    </row>
    <row r="5" ht="38" customHeight="1">
      <c r="B5" s="6" t="inlineStr">
        <is>
          <t>1</t>
        </is>
      </c>
      <c r="C5" s="6" t="inlineStr">
        <is>
          <t>Customer-facing chatbot / care bot</t>
        </is>
      </c>
      <c r="D5" s="6" t="inlineStr">
        <is>
          <t>CSP care copilot, sales assistant</t>
        </is>
      </c>
      <c r="E5" s="6" t="inlineStr">
        <is>
          <t>Model API + chat UI (browser)</t>
        </is>
      </c>
      <c r="F5" s="6" t="inlineStr">
        <is>
          <t>PIN, EXF, OUT, HAL</t>
        </is>
      </c>
      <c r="G5" s="6" t="inlineStr">
        <is>
          <t>Brand damage, regulated answers (billing/tariffs)</t>
        </is>
      </c>
      <c r="H5" s="6" t="inlineStr">
        <is>
          <t>Prod testing rate-capped; G1 for content-safety packs</t>
        </is>
      </c>
    </row>
    <row r="6" ht="38" customHeight="1">
      <c r="B6" s="7" t="inlineStr">
        <is>
          <t>2</t>
        </is>
      </c>
      <c r="C6" s="7" t="inlineStr">
        <is>
          <t>Employee copilot</t>
        </is>
      </c>
      <c r="D6" s="7" t="inlineStr">
        <is>
          <t>M365-style assistant over intranet</t>
        </is>
      </c>
      <c r="E6" s="7" t="inlineStr">
        <is>
          <t>Agent endpoint + MCP tool schemas</t>
        </is>
      </c>
      <c r="F6" s="7" t="inlineStr">
        <is>
          <t>PIN, EXF, AGE, MEM</t>
        </is>
      </c>
      <c r="G6" s="7" t="inlineStr">
        <is>
          <t>Internal data sprawl, tool abuse</t>
        </is>
      </c>
      <c r="H6" s="7" t="inlineStr">
        <is>
          <t>Canary-seeded intranet docs</t>
        </is>
      </c>
    </row>
    <row r="7" ht="38" customHeight="1">
      <c r="B7" s="6" t="inlineStr">
        <is>
          <t>3</t>
        </is>
      </c>
      <c r="C7" s="6" t="inlineStr">
        <is>
          <t>RAG knowledge app</t>
        </is>
      </c>
      <c r="D7" s="6" t="inlineStr">
        <is>
          <t>Policy/KB search assistant</t>
        </is>
      </c>
      <c r="E7" s="6" t="inlineStr">
        <is>
          <t>RAG API + corpus sample</t>
        </is>
      </c>
      <c r="F7" s="6" t="inlineStr">
        <is>
          <t>PIN-004, EXF, MEM</t>
        </is>
      </c>
      <c r="G7" s="6" t="inlineStr">
        <is>
          <t>Corpus poisoning, cross-tenant leakage</t>
        </is>
      </c>
      <c r="H7" s="6" t="inlineStr">
        <is>
          <t>Staging corpus with canaries first</t>
        </is>
      </c>
    </row>
    <row r="8" ht="38" customHeight="1">
      <c r="B8" s="7" t="inlineStr">
        <is>
          <t>4</t>
        </is>
      </c>
      <c r="C8" s="7" t="inlineStr">
        <is>
          <t>Tool-calling agent</t>
        </is>
      </c>
      <c r="D8" s="7" t="inlineStr">
        <is>
          <t>Ticketing/CRM agent with tools</t>
        </is>
      </c>
      <c r="E8" s="7" t="inlineStr">
        <is>
          <t>Agent endpoint + tool ACL dump</t>
        </is>
      </c>
      <c r="F8" s="7" t="inlineStr">
        <is>
          <t>PIN, AGE, CON</t>
        </is>
      </c>
      <c r="G8" s="7" t="inlineStr">
        <is>
          <t>Destructive actions, privilege chains</t>
        </is>
      </c>
      <c r="H8" s="7" t="inlineStr">
        <is>
          <t>Sandbox tenant with simulated tools</t>
        </is>
      </c>
    </row>
    <row r="9" ht="38" customHeight="1">
      <c r="B9" s="6" t="inlineStr">
        <is>
          <t>5</t>
        </is>
      </c>
      <c r="C9" s="6" t="inlineStr">
        <is>
          <t>Multi-agent workflow (A2A)</t>
        </is>
      </c>
      <c r="D9" s="6" t="inlineStr">
        <is>
          <t>Orchestrator + worker agents</t>
        </is>
      </c>
      <c r="E9" s="6" t="inlineStr">
        <is>
          <t>Gateway + agent registry</t>
        </is>
      </c>
      <c r="F9" s="6" t="inlineStr">
        <is>
          <t>PIN, AGE-006, MEM</t>
        </is>
      </c>
      <c r="G9" s="6" t="inlineStr">
        <is>
          <t>A2A instruction forgery, cascading misuse</t>
        </is>
      </c>
      <c r="H9" s="6" t="inlineStr">
        <is>
          <t>Isolated workflow replica</t>
        </is>
      </c>
    </row>
    <row r="10" ht="38" customHeight="1">
      <c r="B10" s="7" t="inlineStr">
        <is>
          <t>6</t>
        </is>
      </c>
      <c r="C10" s="7" t="inlineStr">
        <is>
          <t>Coding assistant</t>
        </is>
      </c>
      <c r="D10" s="7" t="inlineStr">
        <is>
          <t>Internal code-gen copilot</t>
        </is>
      </c>
      <c r="E10" s="7" t="inlineStr">
        <is>
          <t>IDE plugin API + repo context</t>
        </is>
      </c>
      <c r="F10" s="7" t="inlineStr">
        <is>
          <t>PIN, OUT-002/003, SUP</t>
        </is>
      </c>
      <c r="G10" s="7" t="inlineStr">
        <is>
          <t>Generated-code injection into pipelines</t>
        </is>
      </c>
      <c r="H10" s="7" t="inlineStr">
        <is>
          <t>Fork sandbox repo only</t>
        </is>
      </c>
    </row>
    <row r="11" ht="38" customHeight="1">
      <c r="B11" s="6" t="inlineStr">
        <is>
          <t>7</t>
        </is>
      </c>
      <c r="C11" s="6" t="inlineStr">
        <is>
          <t>Voice AI agent</t>
        </is>
      </c>
      <c r="D11" s="6" t="inlineStr">
        <is>
          <t>IVR replacement, voice support</t>
        </is>
      </c>
      <c r="E11" s="6" t="inlineStr">
        <is>
          <t>Voice endpoint + transcripts</t>
        </is>
      </c>
      <c r="F11" s="6" t="inlineStr">
        <is>
          <t>PIN (audio), EXF, HAL</t>
        </is>
      </c>
      <c r="G11" s="6" t="inlineStr">
        <is>
          <t>Voice-phishing of the agent, data readback</t>
        </is>
      </c>
      <c r="H11" s="6" t="inlineStr">
        <is>
          <t>Synthetic voice, test numbers only</t>
        </is>
      </c>
    </row>
    <row r="12" ht="38" customHeight="1">
      <c r="B12" s="7" t="inlineStr">
        <is>
          <t>8</t>
        </is>
      </c>
      <c r="C12" s="7" t="inlineStr">
        <is>
          <t>AI gateway / firewall</t>
        </is>
      </c>
      <c r="D12" s="7" t="inlineStr">
        <is>
          <t>Guardrail layer in front of models</t>
        </is>
      </c>
      <c r="E12" s="7" t="inlineStr">
        <is>
          <t>Gateway config + bypass probes</t>
        </is>
      </c>
      <c r="F12" s="7" t="inlineStr">
        <is>
          <t>PIN (bypass), CON</t>
        </is>
      </c>
      <c r="G12" s="7" t="inlineStr">
        <is>
          <t>False sense of security; bypass economics</t>
        </is>
      </c>
      <c r="H12" s="7" t="inlineStr">
        <is>
          <t>Bypass proven with benign probes + canary payload</t>
        </is>
      </c>
    </row>
    <row r="13" ht="38" customHeight="1">
      <c r="B13" s="6" t="inlineStr">
        <is>
          <t>9</t>
        </is>
      </c>
      <c r="C13" s="6" t="inlineStr">
        <is>
          <t>Fine-tuned / proprietary model endpoint</t>
        </is>
      </c>
      <c r="D13" s="6" t="inlineStr">
        <is>
          <t>Custom CSP model</t>
        </is>
      </c>
      <c r="E13" s="6" t="inlineStr">
        <is>
          <t>Inference API</t>
        </is>
      </c>
      <c r="F13" s="6" t="inlineStr">
        <is>
          <t>EXF-004, HAL, CON</t>
        </is>
      </c>
      <c r="G13" s="6" t="inlineStr">
        <is>
          <t>Memorized data extraction</t>
        </is>
      </c>
      <c r="H13" s="6" t="inlineStr">
        <is>
          <t>Quota-budgeted; extraction via canaries</t>
        </is>
      </c>
    </row>
    <row r="14" ht="38" customHeight="1">
      <c r="B14" s="7" t="inlineStr">
        <is>
          <t>10</t>
        </is>
      </c>
      <c r="C14" s="7" t="inlineStr">
        <is>
          <t>Agentic process automation</t>
        </is>
      </c>
      <c r="D14" s="7" t="inlineStr">
        <is>
          <t>AI-driven RPA over BSS/OSS</t>
        </is>
      </c>
      <c r="E14" s="7" t="inlineStr">
        <is>
          <t>Automation API + role mappings</t>
        </is>
      </c>
      <c r="F14" s="7" t="inlineStr">
        <is>
          <t>PIN, AGE, MEM</t>
        </is>
      </c>
      <c r="G14" s="7" t="inlineStr">
        <is>
          <t>Fraud-enabling actions on telco systems</t>
        </is>
      </c>
      <c r="H14" s="7" t="inlineStr">
        <is>
          <t>Shadow tenant; never production BSS writes</t>
        </is>
      </c>
    </row>
    <row r="16">
      <c r="B16" s="2" t="inlineStr">
        <is>
          <t>Cross-sell: classes 4, 5, 10 expose tool/MCP surfaces — hand off to offering #2 (agent &amp; MCP supply-chain assurance) for the inventory/gate half.</t>
        </is>
      </c>
    </row>
  </sheetData>
  <mergeCells count="1">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34" customWidth="1" min="3" max="3"/>
    <col width="36" customWidth="1" min="4" max="4"/>
    <col width="15" customWidth="1" min="5" max="5"/>
    <col width="28" customWidth="1" min="6" max="6"/>
    <col width="13" customWidth="1" min="7" max="7"/>
  </cols>
  <sheetData>
    <row r="1" ht="15" customHeight="1"/>
    <row r="2" ht="32" customHeight="1">
      <c r="B2" s="1" t="inlineStr">
        <is>
          <t>Attack Technique Catalog v1 — 40 Techniques</t>
        </is>
      </c>
    </row>
    <row r="3" ht="8" customHeight="1"/>
    <row r="4" ht="38" customHeight="1">
      <c r="B4" s="5" t="inlineStr">
        <is>
          <t>Technique ID</t>
        </is>
      </c>
      <c r="C4" s="5" t="inlineStr">
        <is>
          <t>OWASP Category</t>
        </is>
      </c>
      <c r="D4" s="5" t="inlineStr">
        <is>
          <t>Technique</t>
        </is>
      </c>
      <c r="E4" s="5" t="inlineStr">
        <is>
          <t>OWASP Ref</t>
        </is>
      </c>
      <c r="F4" s="5" t="inlineStr">
        <is>
          <t>Primary Tool</t>
        </is>
      </c>
      <c r="G4" s="5" t="inlineStr">
        <is>
          <t>Gate Level</t>
        </is>
      </c>
    </row>
    <row r="5" ht="22" customHeight="1">
      <c r="B5" s="6" t="inlineStr">
        <is>
          <t>PIN-001</t>
        </is>
      </c>
      <c r="C5" s="6" t="inlineStr">
        <is>
          <t>Prompt Injection (LLM01)</t>
        </is>
      </c>
      <c r="D5" s="6" t="inlineStr">
        <is>
          <t>Direct instruction override</t>
        </is>
      </c>
      <c r="E5" s="6" t="inlineStr">
        <is>
          <t>LLM01:2025</t>
        </is>
      </c>
      <c r="F5" s="6" t="inlineStr">
        <is>
          <t>PyRIT orchestrator</t>
        </is>
      </c>
      <c r="G5" s="6" t="inlineStr">
        <is>
          <t>Safe</t>
        </is>
      </c>
    </row>
    <row r="6" ht="22" customHeight="1">
      <c r="B6" s="7" t="inlineStr">
        <is>
          <t>PIN-002</t>
        </is>
      </c>
      <c r="C6" s="7" t="inlineStr">
        <is>
          <t>Prompt Injection (LLM01)</t>
        </is>
      </c>
      <c r="D6" s="7" t="inlineStr">
        <is>
          <t>Role/persona hijack (DAN-style)</t>
        </is>
      </c>
      <c r="E6" s="7" t="inlineStr">
        <is>
          <t>LLM01:2025</t>
        </is>
      </c>
      <c r="F6" s="7" t="inlineStr">
        <is>
          <t>Garak(dan,lemma)</t>
        </is>
      </c>
      <c r="G6" s="7" t="inlineStr">
        <is>
          <t>Safe</t>
        </is>
      </c>
    </row>
    <row r="7" ht="38" customHeight="1">
      <c r="B7" s="6" t="inlineStr">
        <is>
          <t>PIN-003</t>
        </is>
      </c>
      <c r="C7" s="6" t="inlineStr">
        <is>
          <t>Prompt Injection (LLM01)</t>
        </is>
      </c>
      <c r="D7" s="6" t="inlineStr">
        <is>
          <t>System-prompt extraction via injection</t>
        </is>
      </c>
      <c r="E7" s="6" t="inlineStr">
        <is>
          <t>LLM01+07</t>
        </is>
      </c>
      <c r="F7" s="6" t="inlineStr">
        <is>
          <t>promptfoo redteam</t>
        </is>
      </c>
      <c r="G7" s="6" t="inlineStr">
        <is>
          <t>Safe</t>
        </is>
      </c>
    </row>
    <row r="8" ht="38" customHeight="1">
      <c r="B8" s="7" t="inlineStr">
        <is>
          <t>PIN-004</t>
        </is>
      </c>
      <c r="C8" s="7" t="inlineStr">
        <is>
          <t>Prompt Injection (LLM01)</t>
        </is>
      </c>
      <c r="D8" s="7" t="inlineStr">
        <is>
          <t>Indirect injection via retrieved RAG document</t>
        </is>
      </c>
      <c r="E8" s="7" t="inlineStr">
        <is>
          <t>LLM01:2025</t>
        </is>
      </c>
      <c r="F8" s="7" t="inlineStr">
        <is>
          <t>PyRIT + canary docs</t>
        </is>
      </c>
      <c r="G8" s="7" t="inlineStr">
        <is>
          <t>Sensitive</t>
        </is>
      </c>
    </row>
    <row r="9" ht="38" customHeight="1">
      <c r="B9" s="6" t="inlineStr">
        <is>
          <t>PIN-005</t>
        </is>
      </c>
      <c r="C9" s="6" t="inlineStr">
        <is>
          <t>Prompt Injection (LLM01)</t>
        </is>
      </c>
      <c r="D9" s="6" t="inlineStr">
        <is>
          <t>Indirect injection via tool/web content (agentic browsing)</t>
        </is>
      </c>
      <c r="E9" s="6" t="inlineStr">
        <is>
          <t>LLM01+Agentic</t>
        </is>
      </c>
      <c r="F9" s="6" t="inlineStr">
        <is>
          <t>PyRIT + web canary</t>
        </is>
      </c>
      <c r="G9" s="6" t="inlineStr">
        <is>
          <t>Sensitive</t>
        </is>
      </c>
    </row>
    <row r="10" ht="38" customHeight="1">
      <c r="B10" s="7" t="inlineStr">
        <is>
          <t>PIN-006</t>
        </is>
      </c>
      <c r="C10" s="7" t="inlineStr">
        <is>
          <t>Prompt Injection (LLM01)</t>
        </is>
      </c>
      <c r="D10" s="7" t="inlineStr">
        <is>
          <t>Multi-turn context erosion (gradual reframing)</t>
        </is>
      </c>
      <c r="E10" s="7" t="inlineStr">
        <is>
          <t>LLM01:2025</t>
        </is>
      </c>
      <c r="F10" s="7" t="inlineStr">
        <is>
          <t>PyRIT multi-turn</t>
        </is>
      </c>
      <c r="G10" s="7" t="inlineStr">
        <is>
          <t>Safe</t>
        </is>
      </c>
    </row>
    <row r="11" ht="38" customHeight="1">
      <c r="B11" s="6" t="inlineStr">
        <is>
          <t>PIN-007</t>
        </is>
      </c>
      <c r="C11" s="6" t="inlineStr">
        <is>
          <t>Prompt Injection (LLM01)</t>
        </is>
      </c>
      <c r="D11" s="6" t="inlineStr">
        <is>
          <t>Encoded/obfuscated payload (base64/leetspeak/unicode)</t>
        </is>
      </c>
      <c r="E11" s="6" t="inlineStr">
        <is>
          <t>LLM01:2025</t>
        </is>
      </c>
      <c r="F11" s="6" t="inlineStr">
        <is>
          <t>Garak encoding probes</t>
        </is>
      </c>
      <c r="G11" s="6" t="inlineStr">
        <is>
          <t>Safe</t>
        </is>
      </c>
    </row>
    <row r="12" ht="38" customHeight="1">
      <c r="B12" s="7" t="inlineStr">
        <is>
          <t>PIN-008</t>
        </is>
      </c>
      <c r="C12" s="7" t="inlineStr">
        <is>
          <t>Prompt Injection (LLM01)</t>
        </is>
      </c>
      <c r="D12" s="7" t="inlineStr">
        <is>
          <t>Payload smuggling via structured data (JSON/markdown/code)</t>
        </is>
      </c>
      <c r="E12" s="7" t="inlineStr">
        <is>
          <t>LLM01:2025</t>
        </is>
      </c>
      <c r="F12" s="7" t="inlineStr">
        <is>
          <t>promptfoo</t>
        </is>
      </c>
      <c r="G12" s="7" t="inlineStr">
        <is>
          <t>Safe</t>
        </is>
      </c>
    </row>
    <row r="13" ht="38" customHeight="1">
      <c r="B13" s="6" t="inlineStr">
        <is>
          <t>PIN-009</t>
        </is>
      </c>
      <c r="C13" s="6" t="inlineStr">
        <is>
          <t>Prompt Injection (LLM01)</t>
        </is>
      </c>
      <c r="D13" s="6" t="inlineStr">
        <is>
          <t>Language-switch bypass (low-resource language)</t>
        </is>
      </c>
      <c r="E13" s="6" t="inlineStr">
        <is>
          <t>LLM01:2025</t>
        </is>
      </c>
      <c r="F13" s="6" t="inlineStr">
        <is>
          <t>Garak lang probes</t>
        </is>
      </c>
      <c r="G13" s="6" t="inlineStr">
        <is>
          <t>Safe</t>
        </is>
      </c>
    </row>
    <row r="14" ht="38" customHeight="1">
      <c r="B14" s="7" t="inlineStr">
        <is>
          <t>PIN-010</t>
        </is>
      </c>
      <c r="C14" s="7" t="inlineStr">
        <is>
          <t>Prompt Injection (LLM01)</t>
        </is>
      </c>
      <c r="D14" s="7" t="inlineStr">
        <is>
          <t>Template/copy-paste injection (help-me-debug framing)</t>
        </is>
      </c>
      <c r="E14" s="7" t="inlineStr">
        <is>
          <t>LLM01:2025</t>
        </is>
      </c>
      <c r="F14" s="7" t="inlineStr">
        <is>
          <t>PyRIT persona</t>
        </is>
      </c>
      <c r="G14" s="7" t="inlineStr">
        <is>
          <t>Safe</t>
        </is>
      </c>
    </row>
    <row r="15" ht="38" customHeight="1">
      <c r="B15" s="6" t="inlineStr">
        <is>
          <t>EXF-001</t>
        </is>
      </c>
      <c r="C15" s="6" t="inlineStr">
        <is>
          <t>Sensitive Disclosure (LLM02/07)</t>
        </is>
      </c>
      <c r="D15" s="6" t="inlineStr">
        <is>
          <t>System prompt leakage via direct ask</t>
        </is>
      </c>
      <c r="E15" s="6" t="inlineStr">
        <is>
          <t>LLM07:2025</t>
        </is>
      </c>
      <c r="F15" s="6" t="inlineStr">
        <is>
          <t>Garak leakrepl</t>
        </is>
      </c>
      <c r="G15" s="6" t="inlineStr">
        <is>
          <t>Safe</t>
        </is>
      </c>
    </row>
    <row r="16" ht="38" customHeight="1">
      <c r="B16" s="7" t="inlineStr">
        <is>
          <t>EXF-002</t>
        </is>
      </c>
      <c r="C16" s="7" t="inlineStr">
        <is>
          <t>Sensitive Disclosure (LLM02/07)</t>
        </is>
      </c>
      <c r="D16" s="7" t="inlineStr">
        <is>
          <t>PII echo from context/chat history</t>
        </is>
      </c>
      <c r="E16" s="7" t="inlineStr">
        <is>
          <t>LLM02:2025</t>
        </is>
      </c>
      <c r="F16" s="7" t="inlineStr">
        <is>
          <t>PyRIT + PII detector</t>
        </is>
      </c>
      <c r="G16" s="7" t="inlineStr">
        <is>
          <t>Safe</t>
        </is>
      </c>
    </row>
    <row r="17" ht="38" customHeight="1">
      <c r="B17" s="6" t="inlineStr">
        <is>
          <t>EXF-003</t>
        </is>
      </c>
      <c r="C17" s="6" t="inlineStr">
        <is>
          <t>Sensitive Disclosure (LLM02/07)</t>
        </is>
      </c>
      <c r="D17" s="6" t="inlineStr">
        <is>
          <t>Cross-tenant RAG retrieval</t>
        </is>
      </c>
      <c r="E17" s="6" t="inlineStr">
        <is>
          <t>LLM02+08</t>
        </is>
      </c>
      <c r="F17" s="6" t="inlineStr">
        <is>
          <t>Canary corpus + tenant B</t>
        </is>
      </c>
      <c r="G17" s="6" t="inlineStr">
        <is>
          <t>Sensitive</t>
        </is>
      </c>
    </row>
    <row r="18" ht="38" customHeight="1">
      <c r="B18" s="7" t="inlineStr">
        <is>
          <t>EXF-004</t>
        </is>
      </c>
      <c r="C18" s="7" t="inlineStr">
        <is>
          <t>Sensitive Disclosure (LLM02/07)</t>
        </is>
      </c>
      <c r="D18" s="7" t="inlineStr">
        <is>
          <t>Training-data extraction (memorized content)</t>
        </is>
      </c>
      <c r="E18" s="7" t="inlineStr">
        <is>
          <t>LLM02:2025</t>
        </is>
      </c>
      <c r="F18" s="7" t="inlineStr">
        <is>
          <t>Garak divgex / canary</t>
        </is>
      </c>
      <c r="G18" s="7" t="inlineStr">
        <is>
          <t>Sensitive</t>
        </is>
      </c>
    </row>
    <row r="19" ht="38" customHeight="1">
      <c r="B19" s="6" t="inlineStr">
        <is>
          <t>EXF-005</t>
        </is>
      </c>
      <c r="C19" s="6" t="inlineStr">
        <is>
          <t>Sensitive Disclosure (LLM02/07)</t>
        </is>
      </c>
      <c r="D19" s="6" t="inlineStr">
        <is>
          <t>Canary exfiltration via tool (webhook URL in prompt)</t>
        </is>
      </c>
      <c r="E19" s="6" t="inlineStr">
        <is>
          <t>LLM02+06</t>
        </is>
      </c>
      <c r="F19" s="6" t="inlineStr">
        <is>
          <t>mcp-canary</t>
        </is>
      </c>
      <c r="G19" s="6" t="inlineStr">
        <is>
          <t>Sensitive</t>
        </is>
      </c>
    </row>
    <row r="20" ht="38" customHeight="1">
      <c r="B20" s="7" t="inlineStr">
        <is>
          <t>EXF-006</t>
        </is>
      </c>
      <c r="C20" s="7" t="inlineStr">
        <is>
          <t>Sensitive Disclosure (LLM02/07)</t>
        </is>
      </c>
      <c r="D20" s="7" t="inlineStr">
        <is>
          <t>API key/credential disclosure in context</t>
        </is>
      </c>
      <c r="E20" s="7" t="inlineStr">
        <is>
          <t>LLM02:2025</t>
        </is>
      </c>
      <c r="F20" s="7" t="inlineStr">
        <is>
          <t>promptfoo + regex judge</t>
        </is>
      </c>
      <c r="G20" s="7" t="inlineStr">
        <is>
          <t>Safe</t>
        </is>
      </c>
    </row>
    <row r="21" ht="38" customHeight="1">
      <c r="B21" s="6" t="inlineStr">
        <is>
          <t>EXF-007</t>
        </is>
      </c>
      <c r="C21" s="6" t="inlineStr">
        <is>
          <t>Sensitive Disclosure (LLM02/07)</t>
        </is>
      </c>
      <c r="D21" s="6" t="inlineStr">
        <is>
          <t>Error-message leakage (stack traces, internal hosts)</t>
        </is>
      </c>
      <c r="E21" s="6" t="inlineStr">
        <is>
          <t>LLM02:2025</t>
        </is>
      </c>
      <c r="F21" s="6" t="inlineStr">
        <is>
          <t>Fault-injection probes</t>
        </is>
      </c>
      <c r="G21" s="6" t="inlineStr">
        <is>
          <t>Safe</t>
        </is>
      </c>
    </row>
    <row r="22" ht="38" customHeight="1">
      <c r="B22" s="7" t="inlineStr">
        <is>
          <t>OUT-001</t>
        </is>
      </c>
      <c r="C22" s="7" t="inlineStr">
        <is>
          <t>Improper Output Handling (LLM05)</t>
        </is>
      </c>
      <c r="D22" s="7" t="inlineStr">
        <is>
          <t>Markdown/image XSS via rendered output</t>
        </is>
      </c>
      <c r="E22" s="7" t="inlineStr">
        <is>
          <t>LLM05:2025</t>
        </is>
      </c>
      <c r="F22" s="7" t="inlineStr">
        <is>
          <t>promptfoo xss pack</t>
        </is>
      </c>
      <c r="G22" s="7" t="inlineStr">
        <is>
          <t>Safe</t>
        </is>
      </c>
    </row>
    <row r="23" ht="38" customHeight="1">
      <c r="B23" s="6" t="inlineStr">
        <is>
          <t>OUT-002</t>
        </is>
      </c>
      <c r="C23" s="6" t="inlineStr">
        <is>
          <t>Improper Output Handling (LLM05)</t>
        </is>
      </c>
      <c r="D23" s="6" t="inlineStr">
        <is>
          <t>Generated code injection into downstream execution</t>
        </is>
      </c>
      <c r="E23" s="6" t="inlineStr">
        <is>
          <t>LLM05:2025</t>
        </is>
      </c>
      <c r="F23" s="6" t="inlineStr">
        <is>
          <t>Sandbox repo execution</t>
        </is>
      </c>
      <c r="G23" s="6" t="inlineStr">
        <is>
          <t>Sensitive</t>
        </is>
      </c>
    </row>
    <row r="24" ht="38" customHeight="1">
      <c r="B24" s="7" t="inlineStr">
        <is>
          <t>OUT-003</t>
        </is>
      </c>
      <c r="C24" s="7" t="inlineStr">
        <is>
          <t>Improper Output Handling (LLM05)</t>
        </is>
      </c>
      <c r="D24" s="7" t="inlineStr">
        <is>
          <t>SSRF via agent-fetched URL from output</t>
        </is>
      </c>
      <c r="E24" s="7" t="inlineStr">
        <is>
          <t>LLM05+06</t>
        </is>
      </c>
      <c r="F24" s="7" t="inlineStr">
        <is>
          <t>Internal http canary</t>
        </is>
      </c>
      <c r="G24" s="7" t="inlineStr">
        <is>
          <t>Sensitive</t>
        </is>
      </c>
    </row>
    <row r="25" ht="38" customHeight="1">
      <c r="B25" s="6" t="inlineStr">
        <is>
          <t>OUT-004</t>
        </is>
      </c>
      <c r="C25" s="6" t="inlineStr">
        <is>
          <t>Improper Output Handling (LLM05)</t>
        </is>
      </c>
      <c r="D25" s="6" t="inlineStr">
        <is>
          <t>Hyperlink/brand spoofing in customer-facing output</t>
        </is>
      </c>
      <c r="E25" s="6" t="inlineStr">
        <is>
          <t>LLM05+09</t>
        </is>
      </c>
      <c r="F25" s="6" t="inlineStr">
        <is>
          <t>Manual+judge review</t>
        </is>
      </c>
      <c r="G25" s="6" t="inlineStr">
        <is>
          <t>Safe</t>
        </is>
      </c>
    </row>
    <row r="26" ht="38" customHeight="1">
      <c r="B26" s="7" t="inlineStr">
        <is>
          <t>AGE-001</t>
        </is>
      </c>
      <c r="C26" s="7" t="inlineStr">
        <is>
          <t>Excessive Agency (LLM06)</t>
        </is>
      </c>
      <c r="D26" s="7" t="inlineStr">
        <is>
          <t>Unauthorized tool invocation via injection</t>
        </is>
      </c>
      <c r="E26" s="7" t="inlineStr">
        <is>
          <t>LLM06:2025</t>
        </is>
      </c>
      <c r="F26" s="7" t="inlineStr">
        <is>
          <t>PyRIT + tool mock</t>
        </is>
      </c>
      <c r="G26" s="7" t="inlineStr">
        <is>
          <t>Sensitive</t>
        </is>
      </c>
    </row>
    <row r="27" ht="38" customHeight="1">
      <c r="B27" s="6" t="inlineStr">
        <is>
          <t>AGE-002</t>
        </is>
      </c>
      <c r="C27" s="6" t="inlineStr">
        <is>
          <t>Excessive Agency (LLM06)</t>
        </is>
      </c>
      <c r="D27" s="6" t="inlineStr">
        <is>
          <t>Destructive action without confirmation (send/delete/pay)</t>
        </is>
      </c>
      <c r="E27" s="6" t="inlineStr">
        <is>
          <t>LLM06+Agentic</t>
        </is>
      </c>
      <c r="F27" s="6" t="inlineStr">
        <is>
          <t>Sandbox tenant flow</t>
        </is>
      </c>
      <c r="G27" s="6" t="inlineStr">
        <is>
          <t>Sensitive</t>
        </is>
      </c>
    </row>
    <row r="28" ht="38" customHeight="1">
      <c r="B28" s="7" t="inlineStr">
        <is>
          <t>AGE-003</t>
        </is>
      </c>
      <c r="C28" s="7" t="inlineStr">
        <is>
          <t>Excessive Agency (LLM06)</t>
        </is>
      </c>
      <c r="D28" s="7" t="inlineStr">
        <is>
          <t>Privilege escalation via tool combination</t>
        </is>
      </c>
      <c r="E28" s="7" t="inlineStr">
        <is>
          <t>Agentic Top10</t>
        </is>
      </c>
      <c r="F28" s="7" t="inlineStr">
        <is>
          <t>Chain-builder</t>
        </is>
      </c>
      <c r="G28" s="7" t="inlineStr">
        <is>
          <t>Sensitive</t>
        </is>
      </c>
    </row>
    <row r="29" ht="38" customHeight="1">
      <c r="B29" s="6" t="inlineStr">
        <is>
          <t>AGE-004</t>
        </is>
      </c>
      <c r="C29" s="6" t="inlineStr">
        <is>
          <t>Excessive Agency (LLM06)</t>
        </is>
      </c>
      <c r="D29" s="6" t="inlineStr">
        <is>
          <t>Consent/confirmation bypass in multi-step flows</t>
        </is>
      </c>
      <c r="E29" s="6" t="inlineStr">
        <is>
          <t>Agentic Top10</t>
        </is>
      </c>
      <c r="F29" s="6" t="inlineStr">
        <is>
          <t>Multi-turn scripts</t>
        </is>
      </c>
      <c r="G29" s="6" t="inlineStr">
        <is>
          <t>Safe</t>
        </is>
      </c>
    </row>
    <row r="30" ht="38" customHeight="1">
      <c r="B30" s="7" t="inlineStr">
        <is>
          <t>AGE-005</t>
        </is>
      </c>
      <c r="C30" s="7" t="inlineStr">
        <is>
          <t>Excessive Agency (LLM06)</t>
        </is>
      </c>
      <c r="D30" s="7" t="inlineStr">
        <is>
          <t>Shadow tool usage (undocumented endpoints)</t>
        </is>
      </c>
      <c r="E30" s="7" t="inlineStr">
        <is>
          <t>Agentic Top10</t>
        </is>
      </c>
      <c r="F30" s="7" t="inlineStr">
        <is>
          <t>Recon diff vs registry</t>
        </is>
      </c>
      <c r="G30" s="7" t="inlineStr">
        <is>
          <t>Safe</t>
        </is>
      </c>
    </row>
    <row r="31" ht="38" customHeight="1">
      <c r="B31" s="6" t="inlineStr">
        <is>
          <t>AGE-006</t>
        </is>
      </c>
      <c r="C31" s="6" t="inlineStr">
        <is>
          <t>Excessive Agency (LLM06)</t>
        </is>
      </c>
      <c r="D31" s="6" t="inlineStr">
        <is>
          <t>Agent-to-agent instruction forgery (A2A poisoning)</t>
        </is>
      </c>
      <c r="E31" s="6" t="inlineStr">
        <is>
          <t>Agentic Top10</t>
        </is>
      </c>
      <c r="F31" s="6" t="inlineStr">
        <is>
          <t>Workflow replica</t>
        </is>
      </c>
      <c r="G31" s="6" t="inlineStr">
        <is>
          <t>Sensitive</t>
        </is>
      </c>
    </row>
    <row r="32" ht="38" customHeight="1">
      <c r="B32" s="7" t="inlineStr">
        <is>
          <t>AGE-007</t>
        </is>
      </c>
      <c r="C32" s="7" t="inlineStr">
        <is>
          <t>Excessive Agency (LLM06)</t>
        </is>
      </c>
      <c r="D32" s="7" t="inlineStr">
        <is>
          <t>Unbounded autonomous loop (no step cap)</t>
        </is>
      </c>
      <c r="E32" s="7" t="inlineStr">
        <is>
          <t>Agentic Top10</t>
        </is>
      </c>
      <c r="F32" s="7" t="inlineStr">
        <is>
          <t>Budget-capped runner</t>
        </is>
      </c>
      <c r="G32" s="7" t="inlineStr">
        <is>
          <t>Sensitive</t>
        </is>
      </c>
    </row>
    <row r="33" ht="38" customHeight="1">
      <c r="B33" s="6" t="inlineStr">
        <is>
          <t>MEM-001</t>
        </is>
      </c>
      <c r="C33" s="6" t="inlineStr">
        <is>
          <t>Memory Poisoning (Agentic)</t>
        </is>
      </c>
      <c r="D33" s="6" t="inlineStr">
        <is>
          <t>Long-term memory poisoning via conversation</t>
        </is>
      </c>
      <c r="E33" s="6" t="inlineStr">
        <is>
          <t>Agentic Top10</t>
        </is>
      </c>
      <c r="F33" s="6" t="inlineStr">
        <is>
          <t>Two-session script</t>
        </is>
      </c>
      <c r="G33" s="6" t="inlineStr">
        <is>
          <t>Sensitive</t>
        </is>
      </c>
    </row>
    <row r="34" ht="22" customHeight="1">
      <c r="B34" s="7" t="inlineStr">
        <is>
          <t>MEM-002</t>
        </is>
      </c>
      <c r="C34" s="7" t="inlineStr">
        <is>
          <t>Memory Poisoning (Agentic)</t>
        </is>
      </c>
      <c r="D34" s="7" t="inlineStr">
        <is>
          <t>Cross-user memory extraction</t>
        </is>
      </c>
      <c r="E34" s="7" t="inlineStr">
        <is>
          <t>Agentic+LLM02</t>
        </is>
      </c>
      <c r="F34" s="7" t="inlineStr">
        <is>
          <t>User-B probe</t>
        </is>
      </c>
      <c r="G34" s="7" t="inlineStr">
        <is>
          <t>Sensitive</t>
        </is>
      </c>
    </row>
    <row r="35" ht="38" customHeight="1">
      <c r="B35" s="6" t="inlineStr">
        <is>
          <t>MEM-003</t>
        </is>
      </c>
      <c r="C35" s="6" t="inlineStr">
        <is>
          <t>Memory Poisoning (Agentic)</t>
        </is>
      </c>
      <c r="D35" s="6" t="inlineStr">
        <is>
          <t>Session/context hijack across users</t>
        </is>
      </c>
      <c r="E35" s="6" t="inlineStr">
        <is>
          <t>Agentic Top10</t>
        </is>
      </c>
      <c r="F35" s="6" t="inlineStr">
        <is>
          <t>Token replay in sandbox</t>
        </is>
      </c>
      <c r="G35" s="6" t="inlineStr">
        <is>
          <t>Sensitive</t>
        </is>
      </c>
    </row>
    <row r="36" ht="38" customHeight="1">
      <c r="B36" s="7" t="inlineStr">
        <is>
          <t>CON-001</t>
        </is>
      </c>
      <c r="C36" s="7" t="inlineStr">
        <is>
          <t>Unbounded Consumption (LLM10)</t>
        </is>
      </c>
      <c r="D36" s="7" t="inlineStr">
        <is>
          <t>Token flooding / context exhaustion</t>
        </is>
      </c>
      <c r="E36" s="7" t="inlineStr">
        <is>
          <t>LLM10:2025</t>
        </is>
      </c>
      <c r="F36" s="7" t="inlineStr">
        <is>
          <t>Budget-capped flood</t>
        </is>
      </c>
      <c r="G36" s="7" t="inlineStr">
        <is>
          <t>G1 + budget</t>
        </is>
      </c>
    </row>
    <row r="37" ht="38" customHeight="1">
      <c r="B37" s="6" t="inlineStr">
        <is>
          <t>CON-002</t>
        </is>
      </c>
      <c r="C37" s="6" t="inlineStr">
        <is>
          <t>Unbounded Consumption (LLM10)</t>
        </is>
      </c>
      <c r="D37" s="6" t="inlineStr">
        <is>
          <t>Cost amplification via recursive tool calls</t>
        </is>
      </c>
      <c r="E37" s="6" t="inlineStr">
        <is>
          <t>LLM10+06</t>
        </is>
      </c>
      <c r="F37" s="6" t="inlineStr">
        <is>
          <t>Sandbox loop runner</t>
        </is>
      </c>
      <c r="G37" s="6" t="inlineStr">
        <is>
          <t>G1 + budget</t>
        </is>
      </c>
    </row>
    <row r="38" ht="22" customHeight="1">
      <c r="B38" s="7" t="inlineStr">
        <is>
          <t>CON-003</t>
        </is>
      </c>
      <c r="C38" s="7" t="inlineStr">
        <is>
          <t>Unbounded Consumption (LLM10)</t>
        </is>
      </c>
      <c r="D38" s="7" t="inlineStr">
        <is>
          <t>Rate-limit evasion mapping</t>
        </is>
      </c>
      <c r="E38" s="7" t="inlineStr">
        <is>
          <t>LLM10:2025</t>
        </is>
      </c>
      <c r="F38" s="7" t="inlineStr">
        <is>
          <t>Metered probe set</t>
        </is>
      </c>
      <c r="G38" s="7" t="inlineStr">
        <is>
          <t>Safe</t>
        </is>
      </c>
    </row>
    <row r="39" ht="38" customHeight="1">
      <c r="B39" s="6" t="inlineStr">
        <is>
          <t>CON-004</t>
        </is>
      </c>
      <c r="C39" s="6" t="inlineStr">
        <is>
          <t>Unbounded Consumption (LLM10)</t>
        </is>
      </c>
      <c r="D39" s="6" t="inlineStr">
        <is>
          <t>Resource exhaustion via long inputs</t>
        </is>
      </c>
      <c r="E39" s="6" t="inlineStr">
        <is>
          <t>LLM10:2025</t>
        </is>
      </c>
      <c r="F39" s="6" t="inlineStr">
        <is>
          <t>Sized-input ladder</t>
        </is>
      </c>
      <c r="G39" s="6" t="inlineStr">
        <is>
          <t>G1 + budget</t>
        </is>
      </c>
    </row>
    <row r="40" ht="38" customHeight="1">
      <c r="B40" s="7" t="inlineStr">
        <is>
          <t>HAL-001</t>
        </is>
      </c>
      <c r="C40" s="7" t="inlineStr">
        <is>
          <t>Misinformation (LLM09)</t>
        </is>
      </c>
      <c r="D40" s="7" t="inlineStr">
        <is>
          <t>Fabricated citation/regulatory answer in high-risk domain</t>
        </is>
      </c>
      <c r="E40" s="7" t="inlineStr">
        <is>
          <t>LLM09:2025</t>
        </is>
      </c>
      <c r="F40" s="7" t="inlineStr">
        <is>
          <t>Care/billing Q-set + judge</t>
        </is>
      </c>
      <c r="G40" s="7" t="inlineStr">
        <is>
          <t>Safe</t>
        </is>
      </c>
    </row>
    <row r="41" ht="22" customHeight="1">
      <c r="B41" s="6" t="inlineStr">
        <is>
          <t>HAL-002</t>
        </is>
      </c>
      <c r="C41" s="6" t="inlineStr">
        <is>
          <t>Misinformation (LLM09)</t>
        </is>
      </c>
      <c r="D41" s="6" t="inlineStr">
        <is>
          <t>Harmful-content policy bypass</t>
        </is>
      </c>
      <c r="E41" s="6" t="inlineStr">
        <is>
          <t>LLM09:2025</t>
        </is>
      </c>
      <c r="F41" s="6" t="inlineStr">
        <is>
          <t>Garak policy probes</t>
        </is>
      </c>
      <c r="G41" s="6" t="inlineStr">
        <is>
          <t>Safe</t>
        </is>
      </c>
    </row>
    <row r="42" ht="38" customHeight="1">
      <c r="B42" s="7" t="inlineStr">
        <is>
          <t>HAL-003</t>
        </is>
      </c>
      <c r="C42" s="7" t="inlineStr">
        <is>
          <t>Misinformation (LLM09)</t>
        </is>
      </c>
      <c r="D42" s="7" t="inlineStr">
        <is>
          <t>Confidence manipulation (false authority in billing answers)</t>
        </is>
      </c>
      <c r="E42" s="7" t="inlineStr">
        <is>
          <t>LLM09:2025</t>
        </is>
      </c>
      <c r="F42" s="7" t="inlineStr">
        <is>
          <t>Judge-scored rubric</t>
        </is>
      </c>
      <c r="G42" s="7" t="inlineStr">
        <is>
          <t>Safe</t>
        </is>
      </c>
    </row>
    <row r="43" ht="38" customHeight="1">
      <c r="B43" s="6" t="inlineStr">
        <is>
          <t>SUP-001</t>
        </is>
      </c>
      <c r="C43" s="6" t="inlineStr">
        <is>
          <t>Supply Chain (LLM03)</t>
        </is>
      </c>
      <c r="D43" s="6" t="inlineStr">
        <is>
          <t>Unverified MCP tool schema abuse (cross-ref offering #2)</t>
        </is>
      </c>
      <c r="E43" s="6" t="inlineStr">
        <is>
          <t>LLM03:2025</t>
        </is>
      </c>
      <c r="F43" s="6" t="inlineStr">
        <is>
          <t>mcp introspection</t>
        </is>
      </c>
      <c r="G43" s="6" t="inlineStr">
        <is>
          <t>Safe</t>
        </is>
      </c>
    </row>
    <row r="44" ht="38" customHeight="1">
      <c r="B44" s="7" t="inlineStr">
        <is>
          <t>SUP-002</t>
        </is>
      </c>
      <c r="C44" s="7" t="inlineStr">
        <is>
          <t>Supply Chain (LLM03)</t>
        </is>
      </c>
      <c r="D44" s="7" t="inlineStr">
        <is>
          <t>Agent permission sprawl precheck (cross-ref #2)</t>
        </is>
      </c>
      <c r="E44" s="7" t="inlineStr">
        <is>
          <t>LLM03+Agentic</t>
        </is>
      </c>
      <c r="F44" s="7" t="inlineStr">
        <is>
          <t>Registry diff</t>
        </is>
      </c>
      <c r="G44" s="7" t="inlineStr">
        <is>
          <t>Safe</t>
        </is>
      </c>
    </row>
    <row r="46">
      <c r="B46" s="2" t="inlineStr">
        <is>
          <t>Gate levels: Safe = standard packs; Sensitive = G1 two-person approval + sandbox-first; 'G1 + budget' = consumption packs with hard cost caps. Severity derived by OPA from judge confidence + asset criticality.</t>
        </is>
      </c>
    </row>
  </sheetData>
  <mergeCells count="1">
    <mergeCell ref="B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3" customWidth="1" min="1" max="1"/>
    <col width="33" customWidth="1" min="2" max="2"/>
    <col width="14" customWidth="1" min="3" max="3"/>
    <col width="40" customWidth="1" min="4" max="4"/>
    <col width="8" customWidth="1" min="5" max="5"/>
    <col width="40" customWidth="1" min="6" max="6"/>
    <col width="8" customWidth="1" min="7" max="7"/>
  </cols>
  <sheetData>
    <row r="1" ht="15" customHeight="1"/>
    <row r="2" ht="32" customHeight="1">
      <c r="B2" s="1" t="inlineStr">
        <is>
          <t>AI Security Scorecard — Live Calculator (edit blue cells)</t>
        </is>
      </c>
    </row>
    <row r="3" ht="8" customHeight="1"/>
    <row r="4" ht="24" customHeight="1">
      <c r="B4" s="3" t="inlineStr">
        <is>
          <t>Dimensions, weights and engagement actuals</t>
        </is>
      </c>
    </row>
    <row r="5" ht="54" customHeight="1">
      <c r="B5" s="5" t="inlineStr">
        <is>
          <t>Dimension</t>
        </is>
      </c>
      <c r="C5" s="5" t="inlineStr">
        <is>
          <t>Weight</t>
        </is>
      </c>
      <c r="D5" s="5" t="inlineStr">
        <is>
          <t>Metric Definition</t>
        </is>
      </c>
      <c r="E5" s="5" t="inlineStr">
        <is>
          <t>Actual % (0-100)</t>
        </is>
      </c>
      <c r="F5" s="5" t="inlineStr">
        <is>
          <t>Weighted Contribution</t>
        </is>
      </c>
    </row>
    <row r="6" ht="38" customHeight="1">
      <c r="B6" s="6" t="inlineStr">
        <is>
          <t>Injection Resistance</t>
        </is>
      </c>
      <c r="C6" s="10" t="n">
        <v>0.25</v>
      </c>
      <c r="D6" s="6" t="inlineStr">
        <is>
          <t>% injection attempts neutralized (PIN pack)</t>
        </is>
      </c>
      <c r="E6" s="11" t="n">
        <v>44</v>
      </c>
      <c r="F6" s="12">
        <f>E6*$C6</f>
        <v>11.0</v>
      </c>
    </row>
    <row r="7" ht="38" customHeight="1">
      <c r="B7" s="7" t="inlineStr">
        <is>
          <t>Data Protection</t>
        </is>
      </c>
      <c r="C7" s="13" t="n">
        <v>0.2</v>
      </c>
      <c r="D7" s="7" t="inlineStr">
        <is>
          <t>% disclosure attempts blocked (EXF pack incl. canaries)</t>
        </is>
      </c>
      <c r="E7" s="14" t="n">
        <v>55</v>
      </c>
      <c r="F7" s="15">
        <f>E7*$C7</f>
        <v>11.0</v>
      </c>
    </row>
    <row r="8" ht="38" customHeight="1">
      <c r="B8" s="6" t="inlineStr">
        <is>
          <t>Agency &amp; Tool Control</t>
        </is>
      </c>
      <c r="C8" s="10" t="n">
        <v>0.2</v>
      </c>
      <c r="D8" s="6" t="inlineStr">
        <is>
          <t>% agency abuse paths closed (AGE pack)</t>
        </is>
      </c>
      <c r="E8" s="11" t="n">
        <v>40</v>
      </c>
      <c r="F8" s="12">
        <f>E8*$C8</f>
        <v>8.0</v>
      </c>
    </row>
    <row r="9" ht="38" customHeight="1">
      <c r="B9" s="7" t="inlineStr">
        <is>
          <t>Output Safety</t>
        </is>
      </c>
      <c r="C9" s="13" t="n">
        <v>0.15</v>
      </c>
      <c r="D9" s="7" t="inlineStr">
        <is>
          <t>% output-handling flaws closed (OUT pack)</t>
        </is>
      </c>
      <c r="E9" s="14" t="n">
        <v>50</v>
      </c>
      <c r="F9" s="15">
        <f>E9*$C9</f>
        <v>7.5</v>
      </c>
    </row>
    <row r="10" ht="38" customHeight="1">
      <c r="B10" s="6" t="inlineStr">
        <is>
          <t>Availability &amp; Cost Resilience</t>
        </is>
      </c>
      <c r="C10" s="10" t="n">
        <v>0.1</v>
      </c>
      <c r="D10" s="6" t="inlineStr">
        <is>
          <t>% consumption attacks within budget caps (CON pack)</t>
        </is>
      </c>
      <c r="E10" s="11" t="n">
        <v>60</v>
      </c>
      <c r="F10" s="12">
        <f>E10*$C10</f>
        <v>6.0</v>
      </c>
    </row>
    <row r="11" ht="38" customHeight="1">
      <c r="B11" s="7" t="inlineStr">
        <is>
          <t>Regulatory Evidence Readiness</t>
        </is>
      </c>
      <c r="C11" s="13" t="n">
        <v>0.1</v>
      </c>
      <c r="D11" s="7" t="inlineStr">
        <is>
          <t>% findings mapped to EU AI Act/ISO controls with evidence</t>
        </is>
      </c>
      <c r="E11" s="14" t="n">
        <v>30</v>
      </c>
      <c r="F11" s="15">
        <f>E11*$C11</f>
        <v>3.0</v>
      </c>
    </row>
    <row r="12" ht="26" customHeight="1">
      <c r="B12" s="16" t="inlineStr">
        <is>
          <t>Total (weights must equal 100%)</t>
        </is>
      </c>
      <c r="C12" s="17">
        <f>SUM(C6:C11)</f>
        <v>1.0</v>
      </c>
      <c r="D12" s="16" t="str">
        <f>IF(ROUND(C12,4)=1,"OK — weights total 100%","ADJUST — weights do not total 100%")</f>
        <v>OK — weights total 100%</v>
      </c>
      <c r="E12" s="16" t="n"/>
      <c r="F12" s="16" t="n"/>
    </row>
    <row r="13" ht="22" customHeight="1"/>
    <row r="14" ht="24" customHeight="1">
      <c r="B14" s="3" t="inlineStr">
        <is>
          <t>Results (live)</t>
        </is>
      </c>
    </row>
    <row r="15" ht="22" customHeight="1">
      <c r="B15" s="6" t="inlineStr">
        <is>
          <t>AI Security Score (0-100)</t>
        </is>
      </c>
      <c r="C15" s="6" t="n"/>
      <c r="D15" s="6" t="n"/>
      <c r="E15" s="6" t="n"/>
      <c r="F15" s="18">
        <f>ROUND(SUM(F6:F11),1)</f>
        <v>46.5</v>
      </c>
    </row>
    <row r="16" ht="38" customHeight="1">
      <c r="B16" s="7" t="inlineStr">
        <is>
          <t>Band</t>
        </is>
      </c>
      <c r="C16" s="7" t="n"/>
      <c r="D16" s="7" t="n"/>
      <c r="E16" s="7" t="n"/>
      <c r="F16" s="19" t="str">
        <f>IF(F15&gt;=80,"Good",IF(F15&gt;=60,"Fair",IF(F15&gt;=40,"Poor","Critical")))</f>
        <v>Poor</v>
      </c>
    </row>
    <row r="17" ht="70" customHeight="1">
      <c r="B17" s="6" t="inlineStr">
        <is>
          <t>Maturity level</t>
        </is>
      </c>
      <c r="C17" s="6" t="n"/>
      <c r="D17" s="6" t="n"/>
      <c r="E17" s="6" t="n"/>
      <c r="F17" s="18" t="str">
        <f>IF(F15&gt;=80,"Level 4-5 (Optimizing)",IF(F15&gt;=60,"Level 3 (Defined)",IF(F15&gt;=40,"Level 2 (Managed)","Level 1 (Initial)")))</f>
        <v>Level 2 (Managed)</v>
      </c>
    </row>
    <row r="19">
      <c r="B19" s="2" t="inlineStr">
        <is>
          <t>Sample baseline actuals pre-filled — replace with campaign measurements per attack pack.</t>
        </is>
      </c>
    </row>
    <row r="20">
      <c r="B20" s="2" t="inlineStr">
        <is>
          <t>Bands: &lt;40 Critical / 40-59 Poor / 60-79 Fair / &gt;=80 Good. Scorecard feeds the EU AI Act Art 15 robustness dossier.</t>
        </is>
      </c>
    </row>
  </sheetData>
  <mergeCells count="1">
    <mergeCell ref="B2:G2"/>
  </mergeCells>
  <conditionalFormatting sqref="F15">
    <cfRule type="colorScale" priority="1">
      <colorScale>
        <cfvo type="num" val="0"/>
        <cfvo type="num" val="60"/>
        <cfvo type="num" val="100"/>
        <color rgb="00F8696B"/>
        <color rgb="00FFEB84"/>
        <color rgb="0063BE7B"/>
      </colorScale>
    </cfRule>
  </conditionalFormatting>
  <dataValidations count="2">
    <dataValidation sqref="C6:C11" showDropDown="0" showInputMessage="0" showErrorMessage="1" allowBlank="0" errorTitle="Invalid weight" error="Weight must be 0-100%" type="decimal" operator="between">
      <formula1>0</formula1>
      <formula2>1</formula2>
    </dataValidation>
    <dataValidation sqref="E6:E11" showDropDown="0" showInputMessage="0" showErrorMessage="1" allowBlank="0" errorTitle="Invalid actual" error="Actual must be 0-100" type="whole" operator="between">
      <formula1>0</formula1>
      <formula2>100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36" customWidth="1" min="3" max="3"/>
    <col width="10" customWidth="1" min="4" max="4"/>
    <col width="40" customWidth="1" min="5" max="5"/>
    <col width="40" customWidth="1" min="6" max="6"/>
    <col width="40" customWidth="1" min="7" max="7"/>
    <col width="40" customWidth="1" min="8" max="8"/>
    <col width="26" customWidth="1" min="9" max="9"/>
  </cols>
  <sheetData>
    <row r="1" ht="15" customHeight="1"/>
    <row r="2" ht="32" customHeight="1">
      <c r="B2" s="1" t="inlineStr">
        <is>
          <t>Delivery Workflow — Phases, Gates, Owners</t>
        </is>
      </c>
    </row>
    <row r="3" ht="8" customHeight="1"/>
    <row r="4" ht="28" customHeight="1">
      <c r="B4" s="5" t="inlineStr">
        <is>
          <t>Phase</t>
        </is>
      </c>
      <c r="C4" s="5" t="inlineStr">
        <is>
          <t>Name</t>
        </is>
      </c>
      <c r="D4" s="5" t="inlineStr">
        <is>
          <t>Timing</t>
        </is>
      </c>
      <c r="E4" s="5" t="inlineStr">
        <is>
          <t>Key Activities</t>
        </is>
      </c>
      <c r="F4" s="5" t="inlineStr">
        <is>
          <t>Client Inputs</t>
        </is>
      </c>
      <c r="G4" s="5" t="inlineStr">
        <is>
          <t>Outputs</t>
        </is>
      </c>
      <c r="H4" s="5" t="inlineStr">
        <is>
          <t>Gate to Exit</t>
        </is>
      </c>
      <c r="I4" s="5" t="inlineStr">
        <is>
          <t>Owner</t>
        </is>
      </c>
    </row>
    <row r="5" ht="54" customHeight="1">
      <c r="B5" s="6" t="inlineStr">
        <is>
          <t>A0</t>
        </is>
      </c>
      <c r="C5" s="6" t="inlineStr">
        <is>
          <t>Readiness &amp; ROAI</t>
        </is>
      </c>
      <c r="D5" s="6" t="inlineStr">
        <is>
          <t>Week 1</t>
        </is>
      </c>
      <c r="E5" s="6" t="inlineStr">
        <is>
          <t>Scope targets + safety boundaries, sign Rules of AI Engagement, seed canaries/honeytokens, budget caps</t>
        </is>
      </c>
      <c r="F5" s="6" t="inlineStr">
        <is>
          <t>Target inventory, prod-change calendar, tool ACLs</t>
        </is>
      </c>
      <c r="G5" s="6" t="inlineStr">
        <is>
          <t>ROAI pack, canary manifest, budget caps</t>
        </is>
      </c>
      <c r="H5" s="6" t="inlineStr">
        <is>
          <t>ROAI signed; canary seeding verified; sandbox tenant ready</t>
        </is>
      </c>
      <c r="I5" s="6" t="inlineStr">
        <is>
          <t>Engagement Lead</t>
        </is>
      </c>
    </row>
    <row r="6" ht="54" customHeight="1">
      <c r="B6" s="7" t="inlineStr">
        <is>
          <t>A1</t>
        </is>
      </c>
      <c r="C6" s="7" t="inlineStr">
        <is>
          <t>Recon &amp; Surface Mapping</t>
        </is>
      </c>
      <c r="D6" s="7" t="inlineStr">
        <is>
          <t>Week 1-2</t>
        </is>
      </c>
      <c r="E6" s="7" t="inlineStr">
        <is>
          <t>Endpoint/tool/RAG inventory, guardrail fingerprinting, system-prompt harvesting (passive), shadow-tool diff</t>
        </is>
      </c>
      <c r="F6" s="7" t="inlineStr">
        <is>
          <t>API keys, agent registry access</t>
        </is>
      </c>
      <c r="G6" s="7" t="inlineStr">
        <is>
          <t>Target surface map (A2), guardrail fingerprint</t>
        </is>
      </c>
      <c r="H6" s="7" t="inlineStr">
        <is>
          <t>All scoped targets mapped; fingerprint reproducible</t>
        </is>
      </c>
      <c r="I6" s="7" t="inlineStr">
        <is>
          <t>AI Sec Engineer</t>
        </is>
      </c>
    </row>
    <row r="7" ht="54" customHeight="1">
      <c r="B7" s="6" t="inlineStr">
        <is>
          <t>A2</t>
        </is>
      </c>
      <c r="C7" s="6" t="inlineStr">
        <is>
          <t>Baseline &amp; Quick Wins</t>
        </is>
      </c>
      <c r="D7" s="6" t="inlineStr">
        <is>
          <t>Week 2</t>
        </is>
      </c>
      <c r="E7" s="6" t="inlineStr">
        <is>
          <t>Refusal-rate baseline, benign-bypass baseline, first PIN/EXF sweep, 72h quick-win report</t>
        </is>
      </c>
      <c r="F7" s="6" t="inlineStr">
        <is>
          <t>Surface map</t>
        </is>
      </c>
      <c r="G7" s="6" t="inlineStr">
        <is>
          <t>Baseline metrics + quick-win findings</t>
        </is>
      </c>
      <c r="H7" s="6" t="inlineStr">
        <is>
          <t>Quick-win report delivered &lt;=72h after A1 exit</t>
        </is>
      </c>
      <c r="I7" s="6" t="inlineStr">
        <is>
          <t>Red Operator Pod</t>
        </is>
      </c>
    </row>
    <row r="8" ht="54" customHeight="1">
      <c r="B8" s="7" t="inlineStr">
        <is>
          <t>A3</t>
        </is>
      </c>
      <c r="C8" s="7" t="inlineStr">
        <is>
          <t>Campaign Rounds 1-3</t>
        </is>
      </c>
      <c r="D8" s="7" t="inlineStr">
        <is>
          <t>Week 3-4</t>
        </is>
      </c>
      <c r="E8" s="7" t="inlineStr">
        <is>
          <t>Technique packs per target class; parallel red operators; judge verdicts; bounded payload mutation</t>
        </is>
      </c>
      <c r="F8" s="7" t="inlineStr">
        <is>
          <t>Baselines, technique packs</t>
        </is>
      </c>
      <c r="G8" s="7" t="inlineStr">
        <is>
          <t>Candidate findings + evolved payload corpus</t>
        </is>
      </c>
      <c r="H8" s="7" t="inlineStr">
        <is>
          <t>Round-3 marginal-gain &lt; threshold; coverage = packs executed / packs planned</t>
        </is>
      </c>
      <c r="I8" s="7" t="inlineStr">
        <is>
          <t>Red Operator Pod</t>
        </is>
      </c>
    </row>
    <row r="9" ht="70" customHeight="1">
      <c r="B9" s="6" t="inlineStr">
        <is>
          <t>A4</t>
        </is>
      </c>
      <c r="C9" s="6" t="inlineStr">
        <is>
          <t>Chain Building &amp; Deep Exploitation</t>
        </is>
      </c>
      <c r="D9" s="6" t="inlineStr">
        <is>
          <t>Week 4-5</t>
        </is>
      </c>
      <c r="E9" s="6" t="inlineStr">
        <is>
          <t>Combine confirmed weaknesses into kill chains (injection&gt;agency&gt;exfil); business-impact validation in sandbox</t>
        </is>
      </c>
      <c r="F9" s="6" t="inlineStr">
        <is>
          <t>Confirmed findings</t>
        </is>
      </c>
      <c r="G9" s="6" t="inlineStr">
        <is>
          <t>Kill-chain PoCs with impact narrative</t>
        </is>
      </c>
      <c r="H9" s="6" t="inlineStr">
        <is>
          <t>Every critical chain reproduced or downgraded with reason</t>
        </is>
      </c>
      <c r="I9" s="6" t="inlineStr">
        <is>
          <t>Chain-Builder + Red Lead</t>
        </is>
      </c>
    </row>
    <row r="10" ht="54" customHeight="1">
      <c r="B10" s="7" t="inlineStr">
        <is>
          <t>A5</t>
        </is>
      </c>
      <c r="C10" s="7" t="inlineStr">
        <is>
          <t>Report &amp; Regulatory Dossier</t>
        </is>
      </c>
      <c r="D10" s="7" t="inlineStr">
        <is>
          <t>Week 5-6</t>
        </is>
      </c>
      <c r="E10" s="7" t="inlineStr">
        <is>
          <t>AI Security Scorecard, EU AI Act Art 15 robustness evidence, ISO 42001 annex, remediation playbook</t>
        </is>
      </c>
      <c r="F10" s="7" t="inlineStr">
        <is>
          <t>Verified findings, chain PoCs</t>
        </is>
      </c>
      <c r="G10" s="7" t="inlineStr">
        <is>
          <t>Report v1 + regulatory dossier + 90-day plan</t>
        </is>
      </c>
      <c r="H10" s="7" t="inlineStr">
        <is>
          <t>Client sign-off; guardrail-tuning plan agreed</t>
        </is>
      </c>
      <c r="I10" s="7" t="inlineStr">
        <is>
          <t>Engagement Lead</t>
        </is>
      </c>
    </row>
    <row r="11" ht="54" customHeight="1">
      <c r="B11" s="6" t="inlineStr">
        <is>
          <t>A6</t>
        </is>
      </c>
      <c r="C11" s="6" t="inlineStr">
        <is>
          <t>Continuous Mode</t>
        </is>
      </c>
      <c r="D11" s="6" t="inlineStr">
        <is>
          <t>Monthly</t>
        </is>
      </c>
      <c r="E11" s="6" t="inlineStr">
        <is>
          <t>Regression on model/guardrail/prompt updates, monthly threat-intel technique packs, drift scorecard</t>
        </is>
      </c>
      <c r="F11" s="6" t="inlineStr">
        <is>
          <t>Subscription active</t>
        </is>
      </c>
      <c r="G11" s="6" t="inlineStr">
        <is>
          <t>Regression results + updated scorecard</t>
        </is>
      </c>
      <c r="H11" s="6" t="inlineStr">
        <is>
          <t>No critical regression unreported &gt;24h</t>
        </is>
      </c>
      <c r="I11" s="6" t="inlineStr">
        <is>
          <t>Sentinel Pod</t>
        </is>
      </c>
    </row>
    <row r="13">
      <c r="B13" s="2" t="inlineStr">
        <is>
          <t>Packaging: Assess (A0-A5, $50-150K band) / Continuous (A6, $20-50K/mo) / Regulatory-evidence retainer (AI Act Art 15). Pairs with offering #2 as Agentic Assurance Suite.</t>
        </is>
      </c>
    </row>
  </sheetData>
  <mergeCells count="1">
    <mergeCell ref="B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44" customWidth="1" min="3" max="3"/>
    <col width="34" customWidth="1" min="4" max="4"/>
    <col width="44" customWidth="1" min="5" max="5"/>
    <col width="44" customWidth="1" min="6" max="6"/>
    <col width="32" customWidth="1" min="7" max="7"/>
    <col width="44" customWidth="1" min="8" max="8"/>
    <col width="44" customWidth="1" min="9" max="9"/>
    <col width="10" customWidth="1" min="10" max="10"/>
  </cols>
  <sheetData>
    <row r="1" ht="15" customHeight="1"/>
    <row r="2" ht="32" customHeight="1">
      <c r="B2" s="1" t="inlineStr">
        <is>
          <t>Swarm Execution DAG — Nodes &amp; Edge Manifest</t>
        </is>
      </c>
    </row>
    <row r="3" ht="8" customHeight="1"/>
    <row r="4" ht="24" customHeight="1">
      <c r="B4" s="3" t="inlineStr">
        <is>
          <t>Node contracts (bounded mutation rounds keep the graph acyclic per campaign epoch)</t>
        </is>
      </c>
    </row>
    <row r="5" ht="38" customHeight="1">
      <c r="B5" s="5" t="inlineStr">
        <is>
          <t>Node</t>
        </is>
      </c>
      <c r="C5" s="5" t="inlineStr">
        <is>
          <t>Role</t>
        </is>
      </c>
      <c r="D5" s="5" t="inlineStr">
        <is>
          <t>Type</t>
        </is>
      </c>
      <c r="E5" s="5" t="inlineStr">
        <is>
          <t>Phase / Timing</t>
        </is>
      </c>
      <c r="F5" s="5" t="inlineStr">
        <is>
          <t>Output Artifact</t>
        </is>
      </c>
      <c r="G5" s="5" t="inlineStr">
        <is>
          <t>Input</t>
        </is>
      </c>
      <c r="H5" s="5" t="inlineStr">
        <is>
          <t>Validation Gate</t>
        </is>
      </c>
      <c r="I5" s="5" t="inlineStr">
        <is>
          <t>On Failure</t>
        </is>
      </c>
      <c r="J5" s="5" t="inlineStr">
        <is>
          <t>Critical Path</t>
        </is>
      </c>
    </row>
    <row r="6" ht="22" customHeight="1">
      <c r="B6" s="6" t="inlineStr">
        <is>
          <t>N0</t>
        </is>
      </c>
      <c r="C6" s="6" t="inlineStr">
        <is>
          <t>Mission Control (campaign planner)</t>
        </is>
      </c>
      <c r="D6" s="6" t="inlineStr">
        <is>
          <t>Agent</t>
        </is>
      </c>
      <c r="E6" s="6" t="inlineStr">
        <is>
          <t>A0 / wk1</t>
        </is>
      </c>
      <c r="F6" s="6" t="inlineStr">
        <is>
          <t>A1 campaign plan + ROAI manifest</t>
        </is>
      </c>
      <c r="G6" s="6" t="inlineStr">
        <is>
          <t>scope, targets, budgets</t>
        </is>
      </c>
      <c r="H6" s="6" t="inlineStr">
        <is>
          <t>ROAI signed; plan schema valid</t>
        </is>
      </c>
      <c r="I6" s="6" t="inlineStr">
        <is>
          <t>Halt — no workarounds</t>
        </is>
      </c>
      <c r="J6" s="6" t="inlineStr">
        <is>
          <t>Yes</t>
        </is>
      </c>
    </row>
    <row r="7" ht="38" customHeight="1">
      <c r="B7" s="7" t="inlineStr">
        <is>
          <t>N1</t>
        </is>
      </c>
      <c r="C7" s="7" t="inlineStr">
        <is>
          <t>Recon Agent</t>
        </is>
      </c>
      <c r="D7" s="7" t="inlineStr">
        <is>
          <t>Agent</t>
        </is>
      </c>
      <c r="E7" s="7" t="inlineStr">
        <is>
          <t>A1 / wk1-2</t>
        </is>
      </c>
      <c r="F7" s="7" t="inlineStr">
        <is>
          <t>A2 target surface map + guardrail fingerprint</t>
        </is>
      </c>
      <c r="G7" s="7" t="inlineStr">
        <is>
          <t>API keys, registry access</t>
        </is>
      </c>
      <c r="H7" s="7" t="inlineStr">
        <is>
          <t>All scoped targets enumerated; fingerprint reproducible</t>
        </is>
      </c>
      <c r="I7" s="7" t="inlineStr">
        <is>
          <t>Retry read-only; flag target partial</t>
        </is>
      </c>
      <c r="J7" s="7" t="inlineStr">
        <is>
          <t>Yes</t>
        </is>
      </c>
    </row>
    <row r="8" ht="38" customHeight="1">
      <c r="B8" s="6" t="inlineStr">
        <is>
          <t>N2</t>
        </is>
      </c>
      <c r="C8" s="6" t="inlineStr">
        <is>
          <t>Attack Strategist</t>
        </is>
      </c>
      <c r="D8" s="6" t="inlineStr">
        <is>
          <t>Agent</t>
        </is>
      </c>
      <c r="E8" s="6" t="inlineStr">
        <is>
          <t>A2 / wk2</t>
        </is>
      </c>
      <c r="F8" s="6" t="inlineStr">
        <is>
          <t>A3 technique-pack assignments + seed payloads</t>
        </is>
      </c>
      <c r="G8" s="6" t="inlineStr">
        <is>
          <t>surface map, technique catalog</t>
        </is>
      </c>
      <c r="H8" s="6" t="inlineStr">
        <is>
          <t>Pack-target matrix approved by red lead</t>
        </is>
      </c>
      <c r="I8" s="6" t="inlineStr">
        <is>
          <t>Fall back to standard pack set</t>
        </is>
      </c>
      <c r="J8" s="6" t="inlineStr">
        <is>
          <t>Yes</t>
        </is>
      </c>
    </row>
    <row r="9" ht="38" customHeight="1">
      <c r="B9" s="7" t="inlineStr">
        <is>
          <t>N3</t>
        </is>
      </c>
      <c r="C9" s="7" t="inlineStr">
        <is>
          <t>Red Operators (multi-instance, rounds 1-3)</t>
        </is>
      </c>
      <c r="D9" s="7" t="inlineStr">
        <is>
          <t>Agent</t>
        </is>
      </c>
      <c r="E9" s="7" t="inlineStr">
        <is>
          <t>A3 / wk3-4</t>
        </is>
      </c>
      <c r="F9" s="7" t="inlineStr">
        <is>
          <t>A4 attack transcripts + candidate events</t>
        </is>
      </c>
      <c r="G9" s="7" t="inlineStr">
        <is>
          <t>packs, seeds, budget caps</t>
        </is>
      </c>
      <c r="H9" s="7" t="inlineStr">
        <is>
          <t>Rate caps enforced; payload safety screen passed</t>
        </is>
      </c>
      <c r="I9" s="7" t="inlineStr">
        <is>
          <t>Kill instance, log, reschedule</t>
        </is>
      </c>
      <c r="J9" s="7" t="inlineStr">
        <is>
          <t>Yes (CP)</t>
        </is>
      </c>
    </row>
    <row r="10" ht="38" customHeight="1">
      <c r="B10" s="6" t="inlineStr">
        <is>
          <t>N4</t>
        </is>
      </c>
      <c r="C10" s="6" t="inlineStr">
        <is>
          <t>Judge (rule-first, LLM-second)</t>
        </is>
      </c>
      <c r="D10" s="6" t="inlineStr">
        <is>
          <t>Agent</t>
        </is>
      </c>
      <c r="E10" s="6" t="inlineStr">
        <is>
          <t>A3 / wk3-4</t>
        </is>
      </c>
      <c r="F10" s="6" t="inlineStr">
        <is>
          <t>A5 verdicts (success/fail/close + confidence)</t>
        </is>
      </c>
      <c r="G10" s="6" t="inlineStr">
        <is>
          <t>transcripts + detectors</t>
        </is>
      </c>
      <c r="H10" s="6" t="inlineStr">
        <is>
          <t>Dual-mode agreement; disagreement escalated to human</t>
        </is>
      </c>
      <c r="I10" s="6" t="inlineStr">
        <is>
          <t>Mark unverifiable; queue human triage</t>
        </is>
      </c>
      <c r="J10" s="6" t="inlineStr">
        <is>
          <t>Yes (CP)</t>
        </is>
      </c>
    </row>
    <row r="11" ht="38" customHeight="1">
      <c r="B11" s="7" t="inlineStr">
        <is>
          <t>N5</t>
        </is>
      </c>
      <c r="C11" s="7" t="inlineStr">
        <is>
          <t>Mutator (bounded evolution)</t>
        </is>
      </c>
      <c r="D11" s="7" t="inlineStr">
        <is>
          <t>Agent</t>
        </is>
      </c>
      <c r="E11" s="7" t="inlineStr">
        <is>
          <t>A3 / wk3-4</t>
        </is>
      </c>
      <c r="F11" s="7" t="inlineStr">
        <is>
          <t>A6 evolved payload set (rounds 2-3)</t>
        </is>
      </c>
      <c r="G11" s="7" t="inlineStr">
        <is>
          <t>close-but-failed transcripts</t>
        </is>
      </c>
      <c r="H11" s="7" t="inlineStr">
        <is>
          <t>Max 3 rounds; marginal-gain cutoff</t>
        </is>
      </c>
      <c r="I11" s="7" t="inlineStr">
        <is>
          <t>Stop evolution, proceed with confirmed set</t>
        </is>
      </c>
      <c r="J11" s="7" t="inlineStr">
        <is>
          <t>Yes</t>
        </is>
      </c>
    </row>
    <row r="12" ht="38" customHeight="1">
      <c r="B12" s="6" t="inlineStr">
        <is>
          <t>N6</t>
        </is>
      </c>
      <c r="C12" s="6" t="inlineStr">
        <is>
          <t>Chain-Builder</t>
        </is>
      </c>
      <c r="D12" s="6" t="inlineStr">
        <is>
          <t>Agent</t>
        </is>
      </c>
      <c r="E12" s="6" t="inlineStr">
        <is>
          <t>A4 / wk4-5</t>
        </is>
      </c>
      <c r="F12" s="6" t="inlineStr">
        <is>
          <t>A7 kill-chain proposals</t>
        </is>
      </c>
      <c r="G12" s="6" t="inlineStr">
        <is>
          <t>confirmed findings + topology</t>
        </is>
      </c>
      <c r="H12" s="6" t="inlineStr">
        <is>
          <t>Every chain step individually evidenced</t>
        </is>
      </c>
      <c r="I12" s="6" t="inlineStr">
        <is>
          <t>Chain split into single findings</t>
        </is>
      </c>
      <c r="J12" s="6" t="inlineStr">
        <is>
          <t>Yes</t>
        </is>
      </c>
    </row>
    <row r="13" ht="38" customHeight="1">
      <c r="B13" s="7" t="inlineStr">
        <is>
          <t>G1</t>
        </is>
      </c>
      <c r="C13" s="7" t="inlineStr">
        <is>
          <t>Gatekeeper — sensitive actions</t>
        </is>
      </c>
      <c r="D13" s="7" t="inlineStr">
        <is>
          <t>Human gate</t>
        </is>
      </c>
      <c r="E13" s="7" t="inlineStr">
        <is>
          <t>A3/A4</t>
        </is>
      </c>
      <c r="F13" s="7" t="inlineStr">
        <is>
          <t>A7' approvals log (prod attacks, tool actions, budgets)</t>
        </is>
      </c>
      <c r="G13" s="7" t="inlineStr">
        <is>
          <t>sensitive-pack request</t>
        </is>
      </c>
      <c r="H13" s="7" t="inlineStr">
        <is>
          <t>Two-person rule; ROAI scope + budget match</t>
        </is>
      </c>
      <c r="I13" s="7" t="inlineStr">
        <is>
          <t>Deny &gt; run sandbox variant</t>
        </is>
      </c>
      <c r="J13" s="7" t="inlineStr">
        <is>
          <t>Yes</t>
        </is>
      </c>
    </row>
    <row r="14" ht="38" customHeight="1">
      <c r="B14" s="6" t="inlineStr">
        <is>
          <t>N7</t>
        </is>
      </c>
      <c r="C14" s="6" t="inlineStr">
        <is>
          <t>Verifier (human-grade reproduction)</t>
        </is>
      </c>
      <c r="D14" s="6" t="inlineStr">
        <is>
          <t>Agent</t>
        </is>
      </c>
      <c r="E14" s="6" t="inlineStr">
        <is>
          <t>A4 / wk5</t>
        </is>
      </c>
      <c r="F14" s="6" t="inlineStr">
        <is>
          <t>A8 confirmed findings register</t>
        </is>
      </c>
      <c r="G14" s="6" t="inlineStr">
        <is>
          <t>candidates + chains</t>
        </is>
      </c>
      <c r="H14" s="6" t="inlineStr">
        <is>
          <t>Reproduced from transcripts; false positives voided</t>
        </is>
      </c>
      <c r="I14" s="6" t="inlineStr">
        <is>
          <t>Void finding; FP-rate KPI updated</t>
        </is>
      </c>
      <c r="J14" s="6" t="inlineStr">
        <is>
          <t>Yes (CP)</t>
        </is>
      </c>
    </row>
    <row r="15" ht="38" customHeight="1">
      <c r="B15" s="7" t="inlineStr">
        <is>
          <t>N8</t>
        </is>
      </c>
      <c r="C15" s="7" t="inlineStr">
        <is>
          <t>Scorer</t>
        </is>
      </c>
      <c r="D15" s="7" t="inlineStr">
        <is>
          <t>Agent</t>
        </is>
      </c>
      <c r="E15" s="7" t="inlineStr">
        <is>
          <t>A5 / wk5</t>
        </is>
      </c>
      <c r="F15" s="7" t="inlineStr">
        <is>
          <t>A9 AI Security Scorecard</t>
        </is>
      </c>
      <c r="G15" s="7" t="inlineStr">
        <is>
          <t>confirmed register + baselines</t>
        </is>
      </c>
      <c r="H15" s="7" t="inlineStr">
        <is>
          <t>OPA-only derivation; per-pack math shown</t>
        </is>
      </c>
      <c r="I15" s="7" t="inlineStr">
        <is>
          <t>Flag dimension incomplete</t>
        </is>
      </c>
      <c r="J15" s="7" t="inlineStr">
        <is>
          <t>No</t>
        </is>
      </c>
    </row>
    <row r="16" ht="38" customHeight="1">
      <c r="B16" s="6" t="inlineStr">
        <is>
          <t>N9</t>
        </is>
      </c>
      <c r="C16" s="6" t="inlineStr">
        <is>
          <t>Compliance Mapper</t>
        </is>
      </c>
      <c r="D16" s="6" t="inlineStr">
        <is>
          <t>Agent</t>
        </is>
      </c>
      <c r="E16" s="6" t="inlineStr">
        <is>
          <t>A5 / wk5</t>
        </is>
      </c>
      <c r="F16" s="6" t="inlineStr">
        <is>
          <t>A10 EU AI Act / ISO dossier</t>
        </is>
      </c>
      <c r="G16" s="6" t="inlineStr">
        <is>
          <t>confirmed register</t>
        </is>
      </c>
      <c r="H16" s="6" t="inlineStr">
        <is>
          <t>Every finding &gt;=1 control ref (Art 15.2 robustness, ISO A.10.2, NIST AI RMF)</t>
        </is>
      </c>
      <c r="I16" s="6" t="inlineStr">
        <is>
          <t>Block report (hard dependency)</t>
        </is>
      </c>
      <c r="J16" s="6" t="inlineStr">
        <is>
          <t>No</t>
        </is>
      </c>
    </row>
    <row r="17" ht="38" customHeight="1">
      <c r="B17" s="7" t="inlineStr">
        <is>
          <t>N10</t>
        </is>
      </c>
      <c r="C17" s="7" t="inlineStr">
        <is>
          <t>Remediation Advisor</t>
        </is>
      </c>
      <c r="D17" s="7" t="inlineStr">
        <is>
          <t>Agent</t>
        </is>
      </c>
      <c r="E17" s="7" t="inlineStr">
        <is>
          <t>A5 / wk5-6</t>
        </is>
      </c>
      <c r="F17" s="7" t="inlineStr">
        <is>
          <t>A11 playbook pack (guardrail tuning, prompt hardening, arch fixes)</t>
        </is>
      </c>
      <c r="G17" s="7" t="inlineStr">
        <is>
          <t>confirmed register</t>
        </is>
      </c>
      <c r="H17" s="7" t="inlineStr">
        <is>
          <t>Recs reference vetted guardrail library; no generic advice</t>
        </is>
      </c>
      <c r="I17" s="7" t="inlineStr">
        <is>
          <t>Mark custom-engagement</t>
        </is>
      </c>
      <c r="J17" s="7" t="inlineStr">
        <is>
          <t>No</t>
        </is>
      </c>
    </row>
    <row r="18" ht="22" customHeight="1">
      <c r="B18" s="6" t="inlineStr">
        <is>
          <t>N11</t>
        </is>
      </c>
      <c r="C18" s="6" t="inlineStr">
        <is>
          <t>Scribe</t>
        </is>
      </c>
      <c r="D18" s="6" t="inlineStr">
        <is>
          <t>Agent</t>
        </is>
      </c>
      <c r="E18" s="6" t="inlineStr">
        <is>
          <t>A5 / wk6</t>
        </is>
      </c>
      <c r="F18" s="6" t="inlineStr">
        <is>
          <t>A12 report v1 + regulatory dossier</t>
        </is>
      </c>
      <c r="G18" s="6" t="inlineStr">
        <is>
          <t>A8-A11</t>
        </is>
      </c>
      <c r="H18" s="6" t="inlineStr">
        <is>
          <t>Citation lint: claim &gt; finding_id</t>
        </is>
      </c>
      <c r="I18" s="6" t="inlineStr">
        <is>
          <t>Regenerate section, never hand-edit</t>
        </is>
      </c>
      <c r="J18" s="6" t="inlineStr">
        <is>
          <t>Yes (CP)</t>
        </is>
      </c>
    </row>
    <row r="19" ht="38" customHeight="1">
      <c r="B19" s="7" t="inlineStr">
        <is>
          <t>G2</t>
        </is>
      </c>
      <c r="C19" s="7" t="inlineStr">
        <is>
          <t>Gatekeeper — release</t>
        </is>
      </c>
      <c r="D19" s="7" t="inlineStr">
        <is>
          <t>Human gate</t>
        </is>
      </c>
      <c r="E19" s="7" t="inlineStr">
        <is>
          <t>A5</t>
        </is>
      </c>
      <c r="F19" s="7" t="inlineStr">
        <is>
          <t>Release signature</t>
        </is>
      </c>
      <c r="G19" s="7" t="inlineStr">
        <is>
          <t>report v1</t>
        </is>
      </c>
      <c r="H19" s="7" t="inlineStr">
        <is>
          <t>Register vs report completeness; client-sensitive language review</t>
        </is>
      </c>
      <c r="I19" s="7" t="inlineStr">
        <is>
          <t>Hold release</t>
        </is>
      </c>
      <c r="J19" s="7" t="inlineStr">
        <is>
          <t>Yes</t>
        </is>
      </c>
    </row>
    <row r="20" ht="38" customHeight="1">
      <c r="B20" s="6" t="inlineStr">
        <is>
          <t>N12</t>
        </is>
      </c>
      <c r="C20" s="6" t="inlineStr">
        <is>
          <t>Sentinel (continuous)</t>
        </is>
      </c>
      <c r="D20" s="6" t="inlineStr">
        <is>
          <t>Agent</t>
        </is>
      </c>
      <c r="E20" s="6" t="inlineStr">
        <is>
          <t>A6 / monthly</t>
        </is>
      </c>
      <c r="F20" s="6" t="inlineStr">
        <is>
          <t>A13 regression deltas + updated scorecard</t>
        </is>
      </c>
      <c r="G20" s="6" t="inlineStr">
        <is>
          <t>updates feed, new packs</t>
        </is>
      </c>
      <c r="H20" s="6" t="inlineStr">
        <is>
          <t>Update detection within 24h; regression retest automatic</t>
        </is>
      </c>
      <c r="I20" s="6" t="inlineStr">
        <is>
          <t>Skip cycle, alert ops</t>
        </is>
      </c>
      <c r="J20" s="6" t="inlineStr">
        <is>
          <t>No</t>
        </is>
      </c>
    </row>
    <row r="21" ht="22" customHeight="1"/>
    <row r="22" ht="22" customHeight="1"/>
    <row r="23" ht="24" customHeight="1">
      <c r="B23" s="3" t="inlineStr">
        <is>
          <t>Edge manifest — artifact contracts</t>
        </is>
      </c>
    </row>
    <row r="24" ht="28" customHeight="1">
      <c r="B24" s="5" t="inlineStr">
        <is>
          <t>ID</t>
        </is>
      </c>
      <c r="C24" s="5" t="inlineStr">
        <is>
          <t>Artifact</t>
        </is>
      </c>
      <c r="D24" s="5" t="inlineStr">
        <is>
          <t>Producer &gt; Consumer</t>
        </is>
      </c>
      <c r="E24" s="5" t="inlineStr">
        <is>
          <t>Contract / Validation at Edge</t>
        </is>
      </c>
    </row>
    <row r="25" ht="38" customHeight="1">
      <c r="B25" s="6" t="inlineStr">
        <is>
          <t>A1</t>
        </is>
      </c>
      <c r="C25" s="6" t="inlineStr">
        <is>
          <t>Campaign plan + ROAI manifest</t>
        </is>
      </c>
      <c r="D25" s="6" t="inlineStr">
        <is>
          <t>N0 &gt; all</t>
        </is>
      </c>
      <c r="E25" s="6" t="inlineStr">
        <is>
          <t>ROAI signed; budgets capped; canary manifest verified</t>
        </is>
      </c>
    </row>
    <row r="26" ht="38" customHeight="1">
      <c r="B26" s="7" t="inlineStr">
        <is>
          <t>A2</t>
        </is>
      </c>
      <c r="C26" s="7" t="inlineStr">
        <is>
          <t>Target surface map + guardrail fingerprint</t>
        </is>
      </c>
      <c r="D26" s="7" t="inlineStr">
        <is>
          <t>N1 &gt; N2, N3, N12</t>
        </is>
      </c>
      <c r="E26" s="7" t="inlineStr">
        <is>
          <t>All scoped targets enumerated; fingerprint reproducible</t>
        </is>
      </c>
    </row>
    <row r="27" ht="38" customHeight="1">
      <c r="B27" s="6" t="inlineStr">
        <is>
          <t>A3</t>
        </is>
      </c>
      <c r="C27" s="6" t="inlineStr">
        <is>
          <t>Technique-pack assignments + seed payloads</t>
        </is>
      </c>
      <c r="D27" s="6" t="inlineStr">
        <is>
          <t>N2 &gt; N3</t>
        </is>
      </c>
      <c r="E27" s="6" t="inlineStr">
        <is>
          <t>Pack-target matrix approved; payload safety screen passed</t>
        </is>
      </c>
    </row>
    <row r="28" ht="38" customHeight="1">
      <c r="B28" s="7" t="inlineStr">
        <is>
          <t>A4</t>
        </is>
      </c>
      <c r="C28" s="7" t="inlineStr">
        <is>
          <t>Attack transcripts + candidate events</t>
        </is>
      </c>
      <c r="D28" s="7" t="inlineStr">
        <is>
          <t>N3 &gt; N4</t>
        </is>
      </c>
      <c r="E28" s="7" t="inlineStr">
        <is>
          <t>Full transcript stored; token/cost metering attached</t>
        </is>
      </c>
    </row>
    <row r="29" ht="38" customHeight="1">
      <c r="B29" s="6" t="inlineStr">
        <is>
          <t>A5</t>
        </is>
      </c>
      <c r="C29" s="6" t="inlineStr">
        <is>
          <t>Judge verdicts (confidence-scored)</t>
        </is>
      </c>
      <c r="D29" s="6" t="inlineStr">
        <is>
          <t>N4 &gt; N5 (close), N6/N7 (success)</t>
        </is>
      </c>
      <c r="E29" s="6" t="inlineStr">
        <is>
          <t>Dual-mode agreement or human escalation</t>
        </is>
      </c>
    </row>
    <row r="30" ht="38" customHeight="1">
      <c r="B30" s="7" t="inlineStr">
        <is>
          <t>A6</t>
        </is>
      </c>
      <c r="C30" s="7" t="inlineStr">
        <is>
          <t>Evolved payload set</t>
        </is>
      </c>
      <c r="D30" s="7" t="inlineStr">
        <is>
          <t>N5 &gt; N3 (rounds 2-3)</t>
        </is>
      </c>
      <c r="E30" s="7" t="inlineStr">
        <is>
          <t>Bounded: max 3 rounds; marginal-gain cutoff enforced</t>
        </is>
      </c>
    </row>
    <row r="31" ht="38" customHeight="1">
      <c r="B31" s="6" t="inlineStr">
        <is>
          <t>A7</t>
        </is>
      </c>
      <c r="C31" s="6" t="inlineStr">
        <is>
          <t>Kill-chain proposals</t>
        </is>
      </c>
      <c r="D31" s="6" t="inlineStr">
        <is>
          <t>N6 &gt; G1</t>
        </is>
      </c>
      <c r="E31" s="6" t="inlineStr">
        <is>
          <t>Each step individually evidenced; impact narrative stated</t>
        </is>
      </c>
    </row>
    <row r="32" ht="38" customHeight="1">
      <c r="B32" s="7" t="inlineStr">
        <is>
          <t>A7'</t>
        </is>
      </c>
      <c r="C32" s="7" t="inlineStr">
        <is>
          <t>Approvals log</t>
        </is>
      </c>
      <c r="D32" s="7" t="inlineStr">
        <is>
          <t>G1 &gt; N3, N7</t>
        </is>
      </c>
      <c r="E32" s="7" t="inlineStr">
        <is>
          <t>Two-person signature; budget + scope match</t>
        </is>
      </c>
    </row>
    <row r="33" ht="38" customHeight="1">
      <c r="B33" s="6" t="inlineStr">
        <is>
          <t>A8</t>
        </is>
      </c>
      <c r="C33" s="6" t="inlineStr">
        <is>
          <t>Confirmed findings register</t>
        </is>
      </c>
      <c r="D33" s="6" t="inlineStr">
        <is>
          <t>N7 &gt; N8, N9, N10, N11, N12</t>
        </is>
      </c>
      <c r="E33" s="6" t="inlineStr">
        <is>
          <t>Reproduced from transcripts; FP-voided; human-confirmed flag for criticals</t>
        </is>
      </c>
    </row>
    <row r="34" ht="22" customHeight="1">
      <c r="B34" s="7" t="inlineStr">
        <is>
          <t>A9</t>
        </is>
      </c>
      <c r="C34" s="7" t="inlineStr">
        <is>
          <t>AI Security Scorecard</t>
        </is>
      </c>
      <c r="D34" s="7" t="inlineStr">
        <is>
          <t>N8 &gt; N11</t>
        </is>
      </c>
      <c r="E34" s="7" t="inlineStr">
        <is>
          <t>OPA-derived; per-pack math attached</t>
        </is>
      </c>
    </row>
    <row r="35" ht="38" customHeight="1">
      <c r="B35" s="6" t="inlineStr">
        <is>
          <t>A10</t>
        </is>
      </c>
      <c r="C35" s="6" t="inlineStr">
        <is>
          <t>Regulatory dossier</t>
        </is>
      </c>
      <c r="D35" s="6" t="inlineStr">
        <is>
          <t>N9 &gt; N11</t>
        </is>
      </c>
      <c r="E35" s="6" t="inlineStr">
        <is>
          <t>Every finding mapped (EU AI Act Art 15, ISO 42001, NIST AI RMF)</t>
        </is>
      </c>
    </row>
    <row r="36" ht="38" customHeight="1">
      <c r="B36" s="7" t="inlineStr">
        <is>
          <t>A11</t>
        </is>
      </c>
      <c r="C36" s="7" t="inlineStr">
        <is>
          <t>Playbook pack</t>
        </is>
      </c>
      <c r="D36" s="7" t="inlineStr">
        <is>
          <t>N10 &gt; N11, client</t>
        </is>
      </c>
      <c r="E36" s="7" t="inlineStr">
        <is>
          <t>Vetted guardrail library refs; owner + SLA per item</t>
        </is>
      </c>
    </row>
    <row r="37" ht="38" customHeight="1">
      <c r="B37" s="6" t="inlineStr">
        <is>
          <t>A12</t>
        </is>
      </c>
      <c r="C37" s="6" t="inlineStr">
        <is>
          <t>Report v1 + dossier</t>
        </is>
      </c>
      <c r="D37" s="6" t="inlineStr">
        <is>
          <t>N11 &gt; G2 &gt; client</t>
        </is>
      </c>
      <c r="E37" s="6" t="inlineStr">
        <is>
          <t>Citation lint hard-fail; exec + technical annex split</t>
        </is>
      </c>
    </row>
    <row r="38" ht="38" customHeight="1">
      <c r="B38" s="7" t="inlineStr">
        <is>
          <t>A13</t>
        </is>
      </c>
      <c r="C38" s="7" t="inlineStr">
        <is>
          <t>Regression deltas + scorecard</t>
        </is>
      </c>
      <c r="D38" s="7" t="inlineStr">
        <is>
          <t>N12 &gt; client + epoch N+1</t>
        </is>
      </c>
      <c r="E38" s="7" t="inlineStr">
        <is>
          <t>Update detected &lt;24h; retest queue auto-created</t>
        </is>
      </c>
    </row>
    <row r="40">
      <c r="B40" s="2" t="inlineStr">
        <is>
          <t>Critical path: N0 &gt; N1 &gt; N2 &gt; N3(R1) &gt; N4 &gt; N7 &gt; N11 &gt; G2. Mutation rounds R2/R3 run off-path; pull G1 board early for sensitive packs.</t>
        </is>
      </c>
    </row>
  </sheetData>
  <mergeCells count="1">
    <mergeCell ref="B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1" customWidth="1" min="2" max="2"/>
    <col width="8" customWidth="1" min="3" max="3"/>
    <col width="36" customWidth="1" min="4" max="4"/>
    <col width="35" customWidth="1" min="5" max="5"/>
    <col width="26" customWidth="1" min="6" max="6"/>
    <col width="36" customWidth="1" min="7" max="7"/>
    <col width="8" customWidth="1" min="8" max="8"/>
  </cols>
  <sheetData>
    <row r="1" ht="15" customHeight="1"/>
    <row r="2" ht="32" customHeight="1">
      <c r="B2" s="1" t="inlineStr">
        <is>
          <t>Agent Roster — 14 Agents</t>
        </is>
      </c>
    </row>
    <row r="3" ht="8" customHeight="1"/>
    <row r="4" ht="38" customHeight="1">
      <c r="B4" s="5" t="inlineStr">
        <is>
          <t>Agent</t>
        </is>
      </c>
      <c r="C4" s="5" t="inlineStr">
        <is>
          <t>Node</t>
        </is>
      </c>
      <c r="D4" s="5" t="inlineStr">
        <is>
          <t>Mission</t>
        </is>
      </c>
      <c r="E4" s="5" t="inlineStr">
        <is>
          <t>MCP Tools</t>
        </is>
      </c>
      <c r="F4" s="5" t="inlineStr">
        <is>
          <t>Writes</t>
        </is>
      </c>
      <c r="G4" s="5" t="inlineStr">
        <is>
          <t>Guardrails</t>
        </is>
      </c>
      <c r="H4" s="5" t="inlineStr">
        <is>
          <t>Autonomy</t>
        </is>
      </c>
    </row>
    <row r="5" ht="38" customHeight="1">
      <c r="B5" s="6" t="inlineStr">
        <is>
          <t>Mission Control</t>
        </is>
      </c>
      <c r="C5" s="6" t="inlineStr">
        <is>
          <t>N0</t>
        </is>
      </c>
      <c r="D5" s="6" t="inlineStr">
        <is>
          <t>Plan campaigns, enforce ROAI/budgets, track SLAs</t>
        </is>
      </c>
      <c r="E5" s="6" t="inlineStr">
        <is>
          <t>all (metadata)</t>
        </is>
      </c>
      <c r="F5" s="6" t="inlineStr">
        <is>
          <t>campaign plan</t>
        </is>
      </c>
      <c r="G5" s="6" t="inlineStr">
        <is>
          <t>Cannot skip gates; budgets hard-capped</t>
        </is>
      </c>
      <c r="H5" s="6" t="inlineStr">
        <is>
          <t>L1+</t>
        </is>
      </c>
    </row>
    <row r="6" ht="38" customHeight="1">
      <c r="B6" s="7" t="inlineStr">
        <is>
          <t>Recon Agent</t>
        </is>
      </c>
      <c r="C6" s="7" t="inlineStr">
        <is>
          <t>N1</t>
        </is>
      </c>
      <c r="D6" s="7" t="inlineStr">
        <is>
          <t>Map targets, fingerprint guardrails, find shadow tools</t>
        </is>
      </c>
      <c r="E6" s="7" t="inlineStr">
        <is>
          <t>target-adapter, browser, registry</t>
        </is>
      </c>
      <c r="F6" s="7" t="inlineStr">
        <is>
          <t>surface map</t>
        </is>
      </c>
      <c r="G6" s="7" t="inlineStr">
        <is>
          <t>Read-only unless G1-approved</t>
        </is>
      </c>
      <c r="H6" s="7" t="inlineStr">
        <is>
          <t>L1</t>
        </is>
      </c>
    </row>
    <row r="7" ht="38" customHeight="1">
      <c r="B7" s="6" t="inlineStr">
        <is>
          <t>Attack Strategist</t>
        </is>
      </c>
      <c r="C7" s="6" t="inlineStr">
        <is>
          <t>N2</t>
        </is>
      </c>
      <c r="D7" s="6" t="inlineStr">
        <is>
          <t>Select technique packs, craft seeds, plan rounds</t>
        </is>
      </c>
      <c r="E7" s="6" t="inlineStr">
        <is>
          <t>technique catalog, pyrit</t>
        </is>
      </c>
      <c r="F7" s="6" t="inlineStr">
        <is>
          <t>pack assignments</t>
        </is>
      </c>
      <c r="G7" s="6" t="inlineStr">
        <is>
          <t>Human red-lead approval of matrix</t>
        </is>
      </c>
      <c r="H7" s="6" t="inlineStr">
        <is>
          <t>L1</t>
        </is>
      </c>
    </row>
    <row r="8" ht="38" customHeight="1">
      <c r="B8" s="7" t="inlineStr">
        <is>
          <t>Red Operator (xN)</t>
        </is>
      </c>
      <c r="C8" s="7" t="inlineStr">
        <is>
          <t>N3</t>
        </is>
      </c>
      <c r="D8" s="7" t="inlineStr">
        <is>
          <t>Execute multi-turn attacks across packs</t>
        </is>
      </c>
      <c r="E8" s="7" t="inlineStr">
        <is>
          <t>pyrit, garak, promptfoo, browser</t>
        </is>
      </c>
      <c r="F8" s="7" t="inlineStr">
        <is>
          <t>transcripts + candidates</t>
        </is>
      </c>
      <c r="G8" s="7" t="inlineStr">
        <is>
          <t>Rate caps; payload safety screen; sandbox-first</t>
        </is>
      </c>
      <c r="H8" s="7" t="inlineStr">
        <is>
          <t>L1</t>
        </is>
      </c>
    </row>
    <row r="9" ht="38" customHeight="1">
      <c r="B9" s="6" t="inlineStr">
        <is>
          <t>Judge</t>
        </is>
      </c>
      <c r="C9" s="6" t="inlineStr">
        <is>
          <t>N4</t>
        </is>
      </c>
      <c r="D9" s="6" t="inlineStr">
        <is>
          <t>Verdict success/fail/close with confidence</t>
        </is>
      </c>
      <c r="E9" s="6" t="inlineStr">
        <is>
          <t>mcp-judge, detectors</t>
        </is>
      </c>
      <c r="F9" s="6" t="inlineStr">
        <is>
          <t>verdicts</t>
        </is>
      </c>
      <c r="G9" s="6" t="inlineStr">
        <is>
          <t>Rule-first, LLM-second; disagreement &gt; human</t>
        </is>
      </c>
      <c r="H9" s="6" t="inlineStr">
        <is>
          <t>L1</t>
        </is>
      </c>
    </row>
    <row r="10" ht="38" customHeight="1">
      <c r="B10" s="7" t="inlineStr">
        <is>
          <t>Mutator</t>
        </is>
      </c>
      <c r="C10" s="7" t="inlineStr">
        <is>
          <t>N5</t>
        </is>
      </c>
      <c r="D10" s="7" t="inlineStr">
        <is>
          <t>Evolve close-but-failed payloads</t>
        </is>
      </c>
      <c r="E10" s="7" t="inlineStr">
        <is>
          <t>pyrit memory, llm-gateway</t>
        </is>
      </c>
      <c r="F10" s="7" t="inlineStr">
        <is>
          <t>evolved payloads</t>
        </is>
      </c>
      <c r="G10" s="7" t="inlineStr">
        <is>
          <t>Bounded 3 rounds; no real-data payloads</t>
        </is>
      </c>
      <c r="H10" s="7" t="inlineStr">
        <is>
          <t>L1</t>
        </is>
      </c>
    </row>
    <row r="11" ht="38" customHeight="1">
      <c r="B11" s="6" t="inlineStr">
        <is>
          <t>Chain-Builder</t>
        </is>
      </c>
      <c r="C11" s="6" t="inlineStr">
        <is>
          <t>N6</t>
        </is>
      </c>
      <c r="D11" s="6" t="inlineStr">
        <is>
          <t>Assemble kill chains from confirmed weaknesses</t>
        </is>
      </c>
      <c r="E11" s="6" t="inlineStr">
        <is>
          <t>evidence, topology map</t>
        </is>
      </c>
      <c r="F11" s="6" t="inlineStr">
        <is>
          <t>chain proposals</t>
        </is>
      </c>
      <c r="G11" s="6" t="inlineStr">
        <is>
          <t>Each step individually evidenced</t>
        </is>
      </c>
      <c r="H11" s="6" t="inlineStr">
        <is>
          <t>L1</t>
        </is>
      </c>
    </row>
    <row r="12" ht="38" customHeight="1">
      <c r="B12" s="7" t="inlineStr">
        <is>
          <t>Gatekeeper</t>
        </is>
      </c>
      <c r="C12" s="7" t="inlineStr">
        <is>
          <t>G1/G2</t>
        </is>
      </c>
      <c r="D12" s="7" t="inlineStr">
        <is>
          <t>Approve sensitive actions and report release</t>
        </is>
      </c>
      <c r="E12" s="7" t="inlineStr">
        <is>
          <t>-</t>
        </is>
      </c>
      <c r="F12" s="7" t="inlineStr">
        <is>
          <t>approvals log</t>
        </is>
      </c>
      <c r="G12" s="7" t="inlineStr">
        <is>
          <t>Two-person rule via interrupt()</t>
        </is>
      </c>
      <c r="H12" s="7" t="inlineStr">
        <is>
          <t>Human</t>
        </is>
      </c>
    </row>
    <row r="13" ht="38" customHeight="1">
      <c r="B13" s="6" t="inlineStr">
        <is>
          <t>Verifier</t>
        </is>
      </c>
      <c r="C13" s="6" t="inlineStr">
        <is>
          <t>N7</t>
        </is>
      </c>
      <c r="D13" s="6" t="inlineStr">
        <is>
          <t>Reproduce findings; kill false positives</t>
        </is>
      </c>
      <c r="E13" s="6" t="inlineStr">
        <is>
          <t>targeted replays</t>
        </is>
      </c>
      <c r="F13" s="6" t="inlineStr">
        <is>
          <t>confirmed register</t>
        </is>
      </c>
      <c r="G13" s="6" t="inlineStr">
        <is>
          <t>Only node allowed to confirm</t>
        </is>
      </c>
      <c r="H13" s="6" t="inlineStr">
        <is>
          <t>L1</t>
        </is>
      </c>
    </row>
    <row r="14" ht="22" customHeight="1">
      <c r="B14" s="7" t="inlineStr">
        <is>
          <t>Scorer</t>
        </is>
      </c>
      <c r="C14" s="7" t="inlineStr">
        <is>
          <t>N8</t>
        </is>
      </c>
      <c r="D14" s="7" t="inlineStr">
        <is>
          <t>Compute AI Security Scorecard</t>
        </is>
      </c>
      <c r="E14" s="7" t="inlineStr">
        <is>
          <t>opa</t>
        </is>
      </c>
      <c r="F14" s="7" t="inlineStr">
        <is>
          <t>scorecard</t>
        </is>
      </c>
      <c r="G14" s="7" t="inlineStr">
        <is>
          <t>OPA-only derivation</t>
        </is>
      </c>
      <c r="H14" s="7" t="inlineStr">
        <is>
          <t>L1</t>
        </is>
      </c>
    </row>
    <row r="15" ht="38" customHeight="1">
      <c r="B15" s="6" t="inlineStr">
        <is>
          <t>Compliance Mapper</t>
        </is>
      </c>
      <c r="C15" s="6" t="inlineStr">
        <is>
          <t>N9</t>
        </is>
      </c>
      <c r="D15" s="6" t="inlineStr">
        <is>
          <t>Map findings to EU AI Act / ISO / NIST AI RMF</t>
        </is>
      </c>
      <c r="E15" s="6" t="inlineStr">
        <is>
          <t>opa mapping tables</t>
        </is>
      </c>
      <c r="F15" s="6" t="inlineStr">
        <is>
          <t>dossier</t>
        </is>
      </c>
      <c r="G15" s="6" t="inlineStr">
        <is>
          <t>Versioned mappings</t>
        </is>
      </c>
      <c r="H15" s="6" t="inlineStr">
        <is>
          <t>L1</t>
        </is>
      </c>
    </row>
    <row r="16" ht="38" customHeight="1">
      <c r="B16" s="7" t="inlineStr">
        <is>
          <t>Remediation Advisor</t>
        </is>
      </c>
      <c r="C16" s="7" t="inlineStr">
        <is>
          <t>N10</t>
        </is>
      </c>
      <c r="D16" s="7" t="inlineStr">
        <is>
          <t>Guardrail tuning + prompt hardening + arch fixes</t>
        </is>
      </c>
      <c r="E16" s="7" t="inlineStr">
        <is>
          <t>evidence, guardrail library</t>
        </is>
      </c>
      <c r="F16" s="7" t="inlineStr">
        <is>
          <t>playbook pack</t>
        </is>
      </c>
      <c r="G16" s="7" t="inlineStr">
        <is>
          <t>Vetted library refs only</t>
        </is>
      </c>
      <c r="H16" s="7" t="inlineStr">
        <is>
          <t>L1</t>
        </is>
      </c>
    </row>
    <row r="17" ht="38" customHeight="1">
      <c r="B17" s="6" t="inlineStr">
        <is>
          <t>Scribe</t>
        </is>
      </c>
      <c r="C17" s="6" t="inlineStr">
        <is>
          <t>N11</t>
        </is>
      </c>
      <c r="D17" s="6" t="inlineStr">
        <is>
          <t>Report + regulatory dossier with citation lint</t>
        </is>
      </c>
      <c r="E17" s="6" t="inlineStr">
        <is>
          <t>evidence</t>
        </is>
      </c>
      <c r="F17" s="6" t="inlineStr">
        <is>
          <t>report v1</t>
        </is>
      </c>
      <c r="G17" s="6" t="inlineStr">
        <is>
          <t>Every claim cites finding_id</t>
        </is>
      </c>
      <c r="H17" s="6" t="inlineStr">
        <is>
          <t>L1</t>
        </is>
      </c>
    </row>
    <row r="18" ht="38" customHeight="1">
      <c r="B18" s="7" t="inlineStr">
        <is>
          <t>Sentinel</t>
        </is>
      </c>
      <c r="C18" s="7" t="inlineStr">
        <is>
          <t>N12</t>
        </is>
      </c>
      <c r="D18" s="7" t="inlineStr">
        <is>
          <t>Regression on updates; deploy monthly threat-intel packs</t>
        </is>
      </c>
      <c r="E18" s="7" t="inlineStr">
        <is>
          <t>all collectors</t>
        </is>
      </c>
      <c r="F18" s="7" t="inlineStr">
        <is>
          <t>deltas + scorecard</t>
        </is>
      </c>
      <c r="G18" s="7" t="inlineStr">
        <is>
          <t>24h update detection; delta-scoped retests</t>
        </is>
      </c>
      <c r="H18" s="7" t="inlineStr">
        <is>
          <t>L2</t>
        </is>
      </c>
    </row>
    <row r="20">
      <c r="B20" s="2" t="inlineStr">
        <is>
          <t>Autonomy: L0 approve-every-step (first 2 engagements) / L1 gates-only (default) / L2 autonomous Safe packs in continuous mode / L3 scoped Sensitive with sampling audit (after 10 clean L2 runs).</t>
        </is>
      </c>
    </row>
  </sheetData>
  <mergeCells count="1">
    <mergeCell ref="B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32" customWidth="1" min="3" max="3"/>
    <col width="40" customWidth="1" min="4" max="4"/>
    <col width="8" customWidth="1" min="5" max="5"/>
    <col width="8" customWidth="1" min="6" max="6"/>
    <col width="10" customWidth="1" min="7" max="7"/>
  </cols>
  <sheetData>
    <row r="1" ht="15" customHeight="1"/>
    <row r="2" ht="32" customHeight="1">
      <c r="B2" s="1" t="inlineStr">
        <is>
          <t>MCP Tool-Server Build List — 13 Servers</t>
        </is>
      </c>
    </row>
    <row r="3" ht="8" customHeight="1"/>
    <row r="4" ht="38" customHeight="1">
      <c r="B4" s="5" t="inlineStr">
        <is>
          <t>Server</t>
        </is>
      </c>
      <c r="C4" s="5" t="inlineStr">
        <is>
          <t>Wraps</t>
        </is>
      </c>
      <c r="D4" s="5" t="inlineStr">
        <is>
          <t>Exposed Tools (examples)</t>
        </is>
      </c>
      <c r="E4" s="5" t="inlineStr">
        <is>
          <t>Build Priority</t>
        </is>
      </c>
      <c r="F4" s="5" t="inlineStr">
        <is>
          <t>Est. Weeks</t>
        </is>
      </c>
      <c r="G4" s="5" t="inlineStr">
        <is>
          <t>Type</t>
        </is>
      </c>
    </row>
    <row r="5" ht="38" customHeight="1">
      <c r="B5" s="6" t="inlineStr">
        <is>
          <t>mcp-target-adapter</t>
        </is>
      </c>
      <c r="C5" s="6" t="inlineStr">
        <is>
          <t>OpenAI-compatible + agent APIs</t>
        </is>
      </c>
      <c r="D5" s="6" t="inlineStr">
        <is>
          <t>chat, tool_call, list_tools, health</t>
        </is>
      </c>
      <c r="E5" s="6" t="inlineStr">
        <is>
          <t>P0</t>
        </is>
      </c>
      <c r="F5" s="8" t="inlineStr">
        <is>
          <t>2</t>
        </is>
      </c>
      <c r="G5" s="6" t="inlineStr">
        <is>
          <t>Core</t>
        </is>
      </c>
    </row>
    <row r="6" ht="22" customHeight="1">
      <c r="B6" s="7" t="inlineStr">
        <is>
          <t>mcp-pyrit</t>
        </is>
      </c>
      <c r="C6" s="7" t="inlineStr">
        <is>
          <t>Microsoft PyRIT</t>
        </is>
      </c>
      <c r="D6" s="7" t="inlineStr">
        <is>
          <t>run_pipeline, memory_query, score</t>
        </is>
      </c>
      <c r="E6" s="7" t="inlineStr">
        <is>
          <t>P0</t>
        </is>
      </c>
      <c r="F6" s="9" t="inlineStr">
        <is>
          <t>2</t>
        </is>
      </c>
      <c r="G6" s="7" t="inlineStr">
        <is>
          <t>Core</t>
        </is>
      </c>
    </row>
    <row r="7" ht="22" customHeight="1">
      <c r="B7" s="6" t="inlineStr">
        <is>
          <t>mcp-garak</t>
        </is>
      </c>
      <c r="C7" s="6" t="inlineStr">
        <is>
          <t>NVIDIA Garak</t>
        </is>
      </c>
      <c r="D7" s="6" t="inlineStr">
        <is>
          <t>run_probe, list_probes, report</t>
        </is>
      </c>
      <c r="E7" s="6" t="inlineStr">
        <is>
          <t>P1</t>
        </is>
      </c>
      <c r="F7" s="8" t="inlineStr">
        <is>
          <t>1</t>
        </is>
      </c>
      <c r="G7" s="6" t="inlineStr">
        <is>
          <t>Core</t>
        </is>
      </c>
    </row>
    <row r="8" ht="38" customHeight="1">
      <c r="B8" s="7" t="inlineStr">
        <is>
          <t>mcp-promptfoo</t>
        </is>
      </c>
      <c r="C8" s="7" t="inlineStr">
        <is>
          <t>promptfoo redteam</t>
        </is>
      </c>
      <c r="D8" s="7" t="inlineStr">
        <is>
          <t>run_suite, assertions, regression_diff</t>
        </is>
      </c>
      <c r="E8" s="7" t="inlineStr">
        <is>
          <t>P1</t>
        </is>
      </c>
      <c r="F8" s="9" t="inlineStr">
        <is>
          <t>1</t>
        </is>
      </c>
      <c r="G8" s="7" t="inlineStr">
        <is>
          <t>Core</t>
        </is>
      </c>
    </row>
    <row r="9" ht="22" customHeight="1">
      <c r="B9" s="6" t="inlineStr">
        <is>
          <t>mcp-giskard</t>
        </is>
      </c>
      <c r="C9" s="6" t="inlineStr">
        <is>
          <t>Giskard scanner</t>
        </is>
      </c>
      <c r="D9" s="6" t="inlineStr">
        <is>
          <t>scan, report_insights</t>
        </is>
      </c>
      <c r="E9" s="6" t="inlineStr">
        <is>
          <t>P2</t>
        </is>
      </c>
      <c r="F9" s="8" t="inlineStr">
        <is>
          <t>1</t>
        </is>
      </c>
      <c r="G9" s="6" t="inlineStr">
        <is>
          <t>Core</t>
        </is>
      </c>
    </row>
    <row r="10" ht="38" customHeight="1">
      <c r="B10" s="7" t="inlineStr">
        <is>
          <t>mcp-browser</t>
        </is>
      </c>
      <c r="C10" s="7" t="inlineStr">
        <is>
          <t>Browser automation</t>
        </is>
      </c>
      <c r="D10" s="7" t="inlineStr">
        <is>
          <t>open_chat, send, screenshot, read_reply</t>
        </is>
      </c>
      <c r="E10" s="7" t="inlineStr">
        <is>
          <t>P1</t>
        </is>
      </c>
      <c r="F10" s="9" t="inlineStr">
        <is>
          <t>2</t>
        </is>
      </c>
      <c r="G10" s="7" t="inlineStr">
        <is>
          <t>Core</t>
        </is>
      </c>
    </row>
    <row r="11" ht="38" customHeight="1">
      <c r="B11" s="6" t="inlineStr">
        <is>
          <t>mcp-judge</t>
        </is>
      </c>
      <c r="C11" s="6" t="inlineStr">
        <is>
          <t>Rule detectors + LLM-as-judge</t>
        </is>
      </c>
      <c r="D11" s="6" t="inlineStr">
        <is>
          <t>rule_check, llm_judge, combine_verdict</t>
        </is>
      </c>
      <c r="E11" s="6" t="inlineStr">
        <is>
          <t>P0</t>
        </is>
      </c>
      <c r="F11" s="8" t="inlineStr">
        <is>
          <t>2</t>
        </is>
      </c>
      <c r="G11" s="6" t="inlineStr">
        <is>
          <t>Core</t>
        </is>
      </c>
    </row>
    <row r="12" ht="38" customHeight="1">
      <c r="B12" s="7" t="inlineStr">
        <is>
          <t>mcp-canary</t>
        </is>
      </c>
      <c r="C12" s="7" t="inlineStr">
        <is>
          <t>Canary/honeytoken mgmt</t>
        </is>
      </c>
      <c r="D12" s="7" t="inlineStr">
        <is>
          <t>seed_corpus, make_webhook, check_hits</t>
        </is>
      </c>
      <c r="E12" s="7" t="inlineStr">
        <is>
          <t>P0</t>
        </is>
      </c>
      <c r="F12" s="9" t="inlineStr">
        <is>
          <t>1</t>
        </is>
      </c>
      <c r="G12" s="7" t="inlineStr">
        <is>
          <t>Core</t>
        </is>
      </c>
    </row>
    <row r="13" ht="38" customHeight="1">
      <c r="B13" s="6" t="inlineStr">
        <is>
          <t>mcp-opa</t>
        </is>
      </c>
      <c r="C13" s="6" t="inlineStr">
        <is>
          <t>OPA/Rego</t>
        </is>
      </c>
      <c r="D13" s="6" t="inlineStr">
        <is>
          <t>evaluate_severity, gate_check, score_dimensions</t>
        </is>
      </c>
      <c r="E13" s="6" t="inlineStr">
        <is>
          <t>P0</t>
        </is>
      </c>
      <c r="F13" s="8" t="inlineStr">
        <is>
          <t>1</t>
        </is>
      </c>
      <c r="G13" s="6" t="inlineStr">
        <is>
          <t>Core</t>
        </is>
      </c>
    </row>
    <row r="14" ht="22" customHeight="1">
      <c r="B14" s="7" t="inlineStr">
        <is>
          <t>mcp-evidence</t>
        </is>
      </c>
      <c r="C14" s="7" t="inlineStr">
        <is>
          <t>Postgres + S3</t>
        </is>
      </c>
      <c r="D14" s="7" t="inlineStr">
        <is>
          <t>store(transcript, finding), link</t>
        </is>
      </c>
      <c r="E14" s="7" t="inlineStr">
        <is>
          <t>P0</t>
        </is>
      </c>
      <c r="F14" s="9" t="inlineStr">
        <is>
          <t>1</t>
        </is>
      </c>
      <c r="G14" s="7" t="inlineStr">
        <is>
          <t>Core</t>
        </is>
      </c>
    </row>
    <row r="15" ht="22" customHeight="1">
      <c r="B15" s="6" t="inlineStr">
        <is>
          <t>mcp-llm-gateway</t>
        </is>
      </c>
      <c r="C15" s="6" t="inlineStr">
        <is>
          <t>Target model access mgmt</t>
        </is>
      </c>
      <c r="D15" s="6" t="inlineStr">
        <is>
          <t>call_model, usage, budget_enforce</t>
        </is>
      </c>
      <c r="E15" s="6" t="inlineStr">
        <is>
          <t>P1</t>
        </is>
      </c>
      <c r="F15" s="8" t="inlineStr">
        <is>
          <t>1</t>
        </is>
      </c>
      <c r="G15" s="6" t="inlineStr">
        <is>
          <t>Core</t>
        </is>
      </c>
    </row>
    <row r="16" ht="22" customHeight="1">
      <c r="B16" s="7" t="inlineStr">
        <is>
          <t>mcp-lakera</t>
        </is>
      </c>
      <c r="C16" s="7" t="inlineStr">
        <is>
          <t>Lakera Guard API (optional)</t>
        </is>
      </c>
      <c r="D16" s="7" t="inlineStr">
        <is>
          <t>fingerprint, bypass_probe</t>
        </is>
      </c>
      <c r="E16" s="7" t="inlineStr">
        <is>
          <t>P2</t>
        </is>
      </c>
      <c r="F16" s="9" t="inlineStr">
        <is>
          <t>1</t>
        </is>
      </c>
      <c r="G16" s="7" t="inlineStr">
        <is>
          <t>Optional</t>
        </is>
      </c>
    </row>
    <row r="17" ht="22" customHeight="1">
      <c r="B17" s="6" t="inlineStr">
        <is>
          <t>mcp-calypsoai</t>
        </is>
      </c>
      <c r="C17" s="6" t="inlineStr">
        <is>
          <t>CalypsoAI (optional)</t>
        </is>
      </c>
      <c r="D17" s="6" t="inlineStr">
        <is>
          <t>scan_target, report</t>
        </is>
      </c>
      <c r="E17" s="6" t="inlineStr">
        <is>
          <t>P2</t>
        </is>
      </c>
      <c r="F17" s="8" t="inlineStr">
        <is>
          <t>1</t>
        </is>
      </c>
      <c r="G17" s="6" t="inlineStr">
        <is>
          <t>Optional</t>
        </is>
      </c>
    </row>
    <row r="19">
      <c r="B19" s="2" t="inlineStr">
        <is>
          <t>Discipline: JSON-schema typed I/O, budget metering on every target call, payload safety screen before dispatch, contract tests in CI.</t>
        </is>
      </c>
    </row>
  </sheetData>
  <mergeCells count="1">
    <mergeCell ref="B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46" customWidth="1" min="3" max="3"/>
    <col width="46" customWidth="1" min="4" max="4"/>
    <col width="46" customWidth="1" min="5" max="5"/>
    <col width="36" customWidth="1" min="6" max="6"/>
    <col width="8" customWidth="1" min="7" max="7"/>
  </cols>
  <sheetData>
    <row r="1" ht="15" customHeight="1"/>
    <row r="2" ht="32" customHeight="1">
      <c r="B2" s="1" t="inlineStr">
        <is>
          <t>RedForge Console — Dual-Mode Agentic UI (Ops + HUD/JARVIS, D7)</t>
        </is>
      </c>
    </row>
    <row r="3" ht="8" customHeight="1"/>
    <row r="4" ht="24" customHeight="1">
      <c r="B4" s="3" t="inlineStr">
        <is>
          <t>Dual-mode architecture — one engine, two skins over one event stream</t>
        </is>
      </c>
    </row>
    <row r="5" ht="28" customHeight="1">
      <c r="B5" s="5" t="inlineStr">
        <is>
          <t>Mode</t>
        </is>
      </c>
      <c r="C5" s="5" t="inlineStr">
        <is>
          <t>Role</t>
        </is>
      </c>
      <c r="D5" s="5" t="inlineStr">
        <is>
          <t>Characteristics</t>
        </is>
      </c>
      <c r="E5" s="5" t="inlineStr">
        <is>
          <t>Screens</t>
        </is>
      </c>
    </row>
    <row r="6" ht="54" customHeight="1">
      <c r="B6" s="6" t="inlineStr">
        <is>
          <t>Ops Mode (default)</t>
        </is>
      </c>
      <c r="C6" s="6" t="inlineStr">
        <is>
          <t>Audit-grade daily driver</t>
        </is>
      </c>
      <c r="D6" s="6" t="inlineStr">
        <is>
          <t>Dense, keyboard-first, WCAG 2.1 AA, printable for auditors; schematic React Flow DAG; for operators &amp; audit reviews</t>
        </is>
      </c>
      <c r="E6" s="6" t="inlineStr">
        <is>
          <t>All 10 screens</t>
        </is>
      </c>
    </row>
    <row r="7" ht="70" customHeight="1">
      <c r="B7" s="7" t="inlineStr">
        <is>
          <t>HUD Mode (JARVIS layer)</t>
        </is>
      </c>
      <c r="C7" s="7" t="inlineStr">
        <is>
          <t>Cinematic command center</t>
        </is>
      </c>
      <c r="D7" s="7" t="inlineStr">
        <is>
          <t>3D swarm constellation, voice I/O, shader HUD (bloom/scanlines/glass), briefings, time-travel replay; for war-room walls, exec demos, sales</t>
        </is>
      </c>
      <c r="E7" s="7" t="inlineStr">
        <is>
          <t>Command Center, Mission Control, Scorecard, Sentinel, Gatekeeper</t>
        </is>
      </c>
    </row>
    <row r="8" ht="22" customHeight="1"/>
    <row r="9" ht="22" customHeight="1"/>
    <row r="10" ht="24" customHeight="1">
      <c r="B10" s="3" t="inlineStr">
        <is>
          <t>Screens (10)</t>
        </is>
      </c>
    </row>
    <row r="11" ht="28" customHeight="1">
      <c r="B11" s="5" t="inlineStr">
        <is>
          <t>#</t>
        </is>
      </c>
      <c r="C11" s="5" t="inlineStr">
        <is>
          <t>Screen</t>
        </is>
      </c>
      <c r="D11" s="5" t="inlineStr">
        <is>
          <t>Contents</t>
        </is>
      </c>
      <c r="E11" s="5" t="inlineStr">
        <is>
          <t>Modes</t>
        </is>
      </c>
      <c r="F11" s="5" t="inlineStr">
        <is>
          <t>Primary Data Source</t>
        </is>
      </c>
    </row>
    <row r="12" ht="38" customHeight="1">
      <c r="B12" s="6" t="inlineStr">
        <is>
          <t>1</t>
        </is>
      </c>
      <c r="C12" s="6" t="inlineStr">
        <is>
          <t>Command Center</t>
        </is>
      </c>
      <c r="D12" s="6" t="inlineStr">
        <is>
          <t>Active campaigns, swarm health, budget burn, KPI tiles</t>
        </is>
      </c>
      <c r="E12" s="6" t="inlineStr">
        <is>
          <t>Both</t>
        </is>
      </c>
      <c r="F12" s="6" t="inlineStr">
        <is>
          <t>campaign plan + KPIs</t>
        </is>
      </c>
    </row>
    <row r="13" ht="54" customHeight="1">
      <c r="B13" s="7" t="inlineStr">
        <is>
          <t>2</t>
        </is>
      </c>
      <c r="C13" s="7" t="inlineStr">
        <is>
          <t>Mission Control (flagship)</t>
        </is>
      </c>
      <c r="D13" s="7" t="inlineStr">
        <is>
          <t>Live 15-node DAG, streaming transcripts, R1-R3 round tracker, budget meters, kill-switch, agent-trace replay</t>
        </is>
      </c>
      <c r="E13" s="7" t="inlineStr">
        <is>
          <t>Both (3D in HUD)</t>
        </is>
      </c>
      <c r="F13" s="7" t="inlineStr">
        <is>
          <t>DAG events + transcripts</t>
        </is>
      </c>
    </row>
    <row r="14" ht="70" customHeight="1">
      <c r="B14" s="6" t="inlineStr">
        <is>
          <t>3</t>
        </is>
      </c>
      <c r="C14" s="6" t="inlineStr">
        <is>
          <t>Findings Explorer</t>
        </is>
      </c>
      <c r="D14" s="6" t="inlineStr">
        <is>
          <t>Filters pack/technique/severity/target; evidence drawer (transcript + dual-mode verdict + confidence); FP-void workflow; kill-chain graph</t>
        </is>
      </c>
      <c r="E14" s="6" t="inlineStr">
        <is>
          <t>Ops-first</t>
        </is>
      </c>
      <c r="F14" s="6" t="inlineStr">
        <is>
          <t>findings register + evidence store</t>
        </is>
      </c>
    </row>
    <row r="15" ht="54" customHeight="1">
      <c r="B15" s="7" t="inlineStr">
        <is>
          <t>4</t>
        </is>
      </c>
      <c r="C15" s="7" t="inlineStr">
        <is>
          <t>AI Security Scorecard</t>
        </is>
      </c>
      <c r="D15" s="7" t="inlineStr">
        <is>
          <t>Live 6-dimension radar, weight sliders (mirrors this workbook), trend lines, band transitions</t>
        </is>
      </c>
      <c r="E15" s="7" t="inlineStr">
        <is>
          <t>Both</t>
        </is>
      </c>
      <c r="F15" s="7" t="inlineStr">
        <is>
          <t>scorecard engine (OPA)</t>
        </is>
      </c>
    </row>
    <row r="16" ht="54" customHeight="1">
      <c r="B16" s="6" t="inlineStr">
        <is>
          <t>5</t>
        </is>
      </c>
      <c r="C16" s="6" t="inlineStr">
        <is>
          <t>Regulatory Dossier</t>
        </is>
      </c>
      <c r="D16" s="6" t="inlineStr">
        <is>
          <t>EU AI Act Art 15 / ISO 42001 / NIST AI RMF matrix, evidence-linked controls, PDF export</t>
        </is>
      </c>
      <c r="E16" s="6" t="inlineStr">
        <is>
          <t>Ops</t>
        </is>
      </c>
      <c r="F16" s="6" t="inlineStr">
        <is>
          <t>compliance mapping</t>
        </is>
      </c>
    </row>
    <row r="17" ht="54" customHeight="1">
      <c r="B17" s="7" t="inlineStr">
        <is>
          <t>6</t>
        </is>
      </c>
      <c r="C17" s="7" t="inlineStr">
        <is>
          <t>Gatekeeper Console</t>
        </is>
      </c>
      <c r="D17" s="7" t="inlineStr">
        <is>
          <t>G1/G2 approval inbox, two-person rule, ROAI scope check, approvals log (audible alerts in HUD)</t>
        </is>
      </c>
      <c r="E17" s="7" t="inlineStr">
        <is>
          <t>Both</t>
        </is>
      </c>
      <c r="F17" s="7" t="inlineStr">
        <is>
          <t>gate events + approvals log</t>
        </is>
      </c>
    </row>
    <row r="18" ht="38" customHeight="1">
      <c r="B18" s="6" t="inlineStr">
        <is>
          <t>7</t>
        </is>
      </c>
      <c r="C18" s="6" t="inlineStr">
        <is>
          <t>Target Registry</t>
        </is>
      </c>
      <c r="D18" s="6" t="inlineStr">
        <is>
          <t>10 target classes: health, surface maps, canary status</t>
        </is>
      </c>
      <c r="E18" s="6" t="inlineStr">
        <is>
          <t>Ops</t>
        </is>
      </c>
      <c r="F18" s="6" t="inlineStr">
        <is>
          <t>target catalogue + recon</t>
        </is>
      </c>
    </row>
    <row r="19" ht="38" customHeight="1">
      <c r="B19" s="7" t="inlineStr">
        <is>
          <t>8</t>
        </is>
      </c>
      <c r="C19" s="7" t="inlineStr">
        <is>
          <t>Technique Library</t>
        </is>
      </c>
      <c r="D19" s="7" t="inlineStr">
        <is>
          <t>40 techniques, payload corpus manager, mutation lineage visualizer</t>
        </is>
      </c>
      <c r="E19" s="7" t="inlineStr">
        <is>
          <t>Ops</t>
        </is>
      </c>
      <c r="F19" s="7" t="inlineStr">
        <is>
          <t>technique catalog + corpus</t>
        </is>
      </c>
    </row>
    <row r="20" ht="38" customHeight="1">
      <c r="B20" s="6" t="inlineStr">
        <is>
          <t>9</t>
        </is>
      </c>
      <c r="C20" s="6" t="inlineStr">
        <is>
          <t>Sentinel / Continuous</t>
        </is>
      </c>
      <c r="D20" s="6" t="inlineStr">
        <is>
          <t>Regression timeline, update detections, drift scorecard, CI-gate widget</t>
        </is>
      </c>
      <c r="E20" s="6" t="inlineStr">
        <is>
          <t>Both</t>
        </is>
      </c>
      <c r="F20" s="6" t="inlineStr">
        <is>
          <t>sentinel deltas</t>
        </is>
      </c>
    </row>
    <row r="21" ht="38" customHeight="1">
      <c r="B21" s="7" t="inlineStr">
        <is>
          <t>10</t>
        </is>
      </c>
      <c r="C21" s="7" t="inlineStr">
        <is>
          <t>Admin &amp; Governance</t>
        </is>
      </c>
      <c r="D21" s="7" t="inlineStr">
        <is>
          <t>RBAC/SSO, audit-trail viewer, MCP server status board, budget caps</t>
        </is>
      </c>
      <c r="E21" s="7" t="inlineStr">
        <is>
          <t>Ops</t>
        </is>
      </c>
      <c r="F21" s="7" t="inlineStr">
        <is>
          <t>governance config</t>
        </is>
      </c>
    </row>
    <row r="22" ht="22" customHeight="1"/>
    <row r="23" ht="22" customHeight="1"/>
    <row r="24" ht="24" customHeight="1">
      <c r="B24" s="3" t="inlineStr">
        <is>
          <t>HUD Mode components (JARVIS layer)</t>
        </is>
      </c>
    </row>
    <row r="25" ht="28" customHeight="1">
      <c r="B25" s="5" t="inlineStr">
        <is>
          <t>Component</t>
        </is>
      </c>
      <c r="C25" s="5" t="inlineStr">
        <is>
          <t>Tech</t>
        </is>
      </c>
      <c r="D25" s="5" t="inlineStr">
        <is>
          <t>What it does</t>
        </is>
      </c>
    </row>
    <row r="26" ht="86" customHeight="1">
      <c r="B26" s="6" t="inlineStr">
        <is>
          <t>3D swarm constellation</t>
        </is>
      </c>
      <c r="C26" s="6" t="inlineStr">
        <is>
          <t>react-three-fiber + drei</t>
        </is>
      </c>
      <c r="D26" s="6" t="inlineStr">
        <is>
          <t>15 agent nodes as glowing orbs; particle flows along attack paths (chains light up as they execute); camera fly-to; exploded agent views; auto-degrade to schematic DAG on weak GPU</t>
        </is>
      </c>
    </row>
    <row r="27" ht="38" customHeight="1">
      <c r="B27" s="7" t="inlineStr">
        <is>
          <t>Core orb (swarm identity)</t>
        </is>
      </c>
      <c r="C27" s="7" t="inlineStr">
        <is>
          <t>R3F + bloom postprocessing</t>
        </is>
      </c>
      <c r="D27" s="7" t="inlineStr">
        <is>
          <t>Central pulsing identity: idle breathing, attack strobe, red gate-alert sweep</t>
        </is>
      </c>
    </row>
    <row r="28" ht="54" customHeight="1">
      <c r="B28" s="6" t="inlineStr">
        <is>
          <t>Shader HUD chrome</t>
        </is>
      </c>
      <c r="C28" s="6" t="inlineStr">
        <is>
          <t>WebGL postprocessing</t>
        </is>
      </c>
      <c r="D28" s="6" t="inlineStr">
        <is>
          <t>Scanlines, glass panels w/ backdrop blur, grid floor, film grain, 1px luminous borders</t>
        </is>
      </c>
    </row>
    <row r="29" ht="54" customHeight="1">
      <c r="B29" s="7" t="inlineStr">
        <is>
          <t>Cinematic motion</t>
        </is>
      </c>
      <c r="C29" s="7" t="inlineStr">
        <is>
          <t>GSAP + Framer Motion</t>
        </is>
      </c>
      <c r="D29" s="7" t="inlineStr">
        <is>
          <t>Materialize/dematerialize transitions, camera timelines, UI springs; prefers-reduced-motion respected</t>
        </is>
      </c>
    </row>
    <row r="30" ht="70" customHeight="1">
      <c r="B30" s="6" t="inlineStr">
        <is>
          <t>Voice I/O</t>
        </is>
      </c>
      <c r="C30" s="6" t="inlineStr">
        <is>
          <t>Web Speech API (keyless)</t>
        </is>
      </c>
      <c r="D30" s="6" t="inlineStr">
        <is>
          <t>STT command capture + TTS briefings work TODAY with zero API keys; upgrades to realtime voice models when LLM keys arrive (D3)</t>
        </is>
      </c>
    </row>
    <row r="31" ht="54" customHeight="1">
      <c r="B31" s="7" t="inlineStr">
        <is>
          <t>Briefing engine</t>
        </is>
      </c>
      <c r="C31" s="7" t="inlineStr">
        <is>
          <t>event-driven narrator</t>
        </is>
      </c>
      <c r="D31" s="7" t="inlineStr">
        <is>
          <t>Situation summaries at milestones/gates/anomalies, spoken + rendered ('Round 2 complete, 3 candidates, budget 61%')</t>
        </is>
      </c>
    </row>
    <row r="32" ht="38" customHeight="1">
      <c r="B32" s="6" t="inlineStr">
        <is>
          <t>Time-travel replay</t>
        </is>
      </c>
      <c r="C32" s="6" t="inlineStr">
        <is>
          <t>event-sourced state</t>
        </is>
      </c>
      <c r="D32" s="6" t="inlineStr">
        <is>
          <t>DVR scrubber through campaign epochs; forensic review of judge verdicts</t>
        </is>
      </c>
    </row>
    <row r="33" ht="54" customHeight="1">
      <c r="B33" s="7" t="inlineStr">
        <is>
          <t>Copilot command core</t>
        </is>
      </c>
      <c r="C33" s="7" t="inlineStr">
        <is>
          <t>MCP tool servers</t>
        </is>
      </c>
      <c r="D33" s="7" t="inlineStr">
        <is>
          <t>Cmd-K natural-language command bar; conversation-first navigation; ask-the-swarm over findings/evidence</t>
        </is>
      </c>
    </row>
    <row r="34" ht="22" customHeight="1"/>
    <row r="35" ht="22" customHeight="1"/>
    <row r="36" ht="24" customHeight="1">
      <c r="B36" s="3" t="inlineStr">
        <is>
          <t>Personas</t>
        </is>
      </c>
    </row>
    <row r="37" ht="28" customHeight="1">
      <c r="B37" s="5" t="inlineStr">
        <is>
          <t>Persona</t>
        </is>
      </c>
      <c r="C37" s="5" t="inlineStr">
        <is>
          <t>Needs</t>
        </is>
      </c>
      <c r="D37" s="5" t="inlineStr">
        <is>
          <t>Primary Screens</t>
        </is>
      </c>
    </row>
    <row r="38" ht="38" customHeight="1">
      <c r="B38" s="6" t="inlineStr">
        <is>
          <t>Red Operator</t>
        </is>
      </c>
      <c r="C38" s="6" t="inlineStr">
        <is>
          <t>Live campaign monitoring, payload triage, gate actions</t>
        </is>
      </c>
      <c r="D38" s="6" t="inlineStr">
        <is>
          <t>Mission Control, Findings, Technique Library</t>
        </is>
      </c>
    </row>
    <row r="39" ht="38" customHeight="1">
      <c r="B39" s="7" t="inlineStr">
        <is>
          <t>Engagement Lead / CISO</t>
        </is>
      </c>
      <c r="C39" s="7" t="inlineStr">
        <is>
          <t>Scorecard, findings severity, remediation status</t>
        </is>
      </c>
      <c r="D39" s="7" t="inlineStr">
        <is>
          <t>Scorecard, Findings, Dossier</t>
        </is>
      </c>
    </row>
    <row r="40" ht="38" customHeight="1">
      <c r="B40" s="6" t="inlineStr">
        <is>
          <t>Compliance officer</t>
        </is>
      </c>
      <c r="C40" s="6" t="inlineStr">
        <is>
          <t>Control mapping, evidence completeness, exports</t>
        </is>
      </c>
      <c r="D40" s="6" t="inlineStr">
        <is>
          <t>Dossier, Findings evidence drawer</t>
        </is>
      </c>
    </row>
    <row r="41" ht="22" customHeight="1">
      <c r="B41" s="7" t="inlineStr">
        <is>
          <t>Exec sponsor</t>
        </is>
      </c>
      <c r="C41" s="7" t="inlineStr">
        <is>
          <t>Posture trend, business risk framing</t>
        </is>
      </c>
      <c r="D41" s="7" t="inlineStr">
        <is>
          <t>Command Center, Scorecard (HUD briefings)</t>
        </is>
      </c>
    </row>
    <row r="42" ht="38" customHeight="1">
      <c r="B42" s="6" t="inlineStr">
        <is>
          <t>Admin</t>
        </is>
      </c>
      <c r="C42" s="6" t="inlineStr">
        <is>
          <t>RBAC/SSO, integrations, budgets, audit trail</t>
        </is>
      </c>
      <c r="D42" s="6" t="inlineStr">
        <is>
          <t>Admin &amp; Governance</t>
        </is>
      </c>
    </row>
    <row r="43" ht="22" customHeight="1"/>
    <row r="44" ht="22" customHeight="1"/>
    <row r="45" ht="24" customHeight="1">
      <c r="B45" s="3" t="inlineStr">
        <is>
          <t>Stack</t>
        </is>
      </c>
    </row>
    <row r="46" ht="28" customHeight="1">
      <c r="B46" s="5" t="inlineStr">
        <is>
          <t>Layer</t>
        </is>
      </c>
      <c r="C46" s="5" t="inlineStr">
        <is>
          <t>Choices</t>
        </is>
      </c>
    </row>
    <row r="47" ht="38" customHeight="1">
      <c r="B47" s="6" t="inlineStr">
        <is>
          <t>Frontend</t>
        </is>
      </c>
      <c r="C47" s="6" t="inlineStr">
        <is>
          <t>Next.js App Router + TypeScript + Tailwind + shadcn/ui (Radix)</t>
        </is>
      </c>
    </row>
    <row r="48" ht="54" customHeight="1">
      <c r="B48" s="7" t="inlineStr">
        <is>
          <t>3D / HUD</t>
        </is>
      </c>
      <c r="C48" s="7" t="inlineStr">
        <is>
          <t>react-three-fiber + drei + postprocessing (bloom); auto-fallback React Flow schematic</t>
        </is>
      </c>
    </row>
    <row r="49" ht="38" customHeight="1">
      <c r="B49" s="6" t="inlineStr">
        <is>
          <t>Motion</t>
        </is>
      </c>
      <c r="C49" s="6" t="inlineStr">
        <is>
          <t>GSAP (cinematic timelines) + Framer Motion (UI springs)</t>
        </is>
      </c>
    </row>
    <row r="50" ht="38" customHeight="1">
      <c r="B50" s="7" t="inlineStr">
        <is>
          <t>Data viz</t>
        </is>
      </c>
      <c r="C50" s="7" t="inlineStr">
        <is>
          <t>Recharts (scorecard/trends) + custom canvas telemetry</t>
        </is>
      </c>
    </row>
    <row r="51" ht="70" customHeight="1">
      <c r="B51" s="6" t="inlineStr">
        <is>
          <t>Realtime</t>
        </is>
      </c>
      <c r="C51" s="6" t="inlineStr">
        <is>
          <t>FastAPI event bus: SSE typed events (agent_state_change, transcript_delta, verdict, budget_tick, gate_request, finding_created)</t>
        </is>
      </c>
    </row>
    <row r="52" ht="38" customHeight="1">
      <c r="B52" s="7" t="inlineStr">
        <is>
          <t>State</t>
        </is>
      </c>
      <c r="C52" s="7" t="inlineStr">
        <is>
          <t>Event-sourced store with time-travel replay; virtualized transcript panes</t>
        </is>
      </c>
    </row>
    <row r="53" ht="38" customHeight="1">
      <c r="B53" s="6" t="inlineStr">
        <is>
          <t>Voice</t>
        </is>
      </c>
      <c r="C53" s="6" t="inlineStr">
        <is>
          <t>Web Speech API now; realtime voice models when keys arrive</t>
        </is>
      </c>
    </row>
    <row r="54" ht="54" customHeight="1">
      <c r="B54" s="7" t="inlineStr">
        <is>
          <t>Enterprise</t>
        </is>
      </c>
      <c r="C54" s="7" t="inlineStr">
        <is>
          <t>RBAC 5 roles, OIDC/SAML SSO, multi-tenant + white-label, view/export audit trail, WCAG 2.1 AA (Ops Mode), i18n-ready</t>
        </is>
      </c>
    </row>
    <row r="55" ht="70" customHeight="1">
      <c r="B55" s="6" t="inlineStr">
        <is>
          <t>Design tokens</t>
        </is>
      </c>
      <c r="C55" s="6" t="inlineStr">
        <is>
          <t>Deep-space navy base, cyan glow primary, amber warn / red critical; Space Grotesk/Chakra Petch display + JetBrains Mono telemetry</t>
        </is>
      </c>
    </row>
    <row r="56" ht="22" customHeight="1"/>
    <row r="57" ht="22" customHeight="1">
      <c r="B57" s="2" t="inlineStr">
        <is>
          <t>Effort: UI total ~+60-75% over pre-UI plan (Ops console +25-35%, HUD layer +30-40%). Phased so probability holds ~92-95%; cinematic-first would drop it to ~85%.</t>
        </is>
      </c>
    </row>
    <row r="58" ht="22" customHeight="1">
      <c r="B58" s="2" t="inlineStr">
        <is>
          <t>Guardrails (D7): prefers-reduced-motion respected; HUD Mode = presentation/war-room layer; Ops Mode carries WCAG 2.1 AA; 3D lazy-loaded with 60fps budget; auto-degrade to schematic DAG.</t>
        </is>
      </c>
    </row>
  </sheetData>
  <mergeCells count="1">
    <mergeCell ref="B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4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13" customWidth="1" min="3" max="3"/>
    <col width="34" customWidth="1" min="4" max="4"/>
    <col width="6" customWidth="1" min="5" max="5"/>
    <col width="6" customWidth="1" min="6" max="6"/>
    <col width="6" customWidth="1" min="7" max="7"/>
    <col width="10" customWidth="1" min="8" max="8"/>
    <col width="25" customWidth="1" min="9" max="9"/>
    <col width="13" customWidth="1" min="10" max="10"/>
    <col width="6"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s>
  <sheetData>
    <row r="1" ht="15" customHeight="1"/>
    <row r="2" ht="32" customHeight="1">
      <c r="B2" s="1" t="inlineStr">
        <is>
          <t>Build Plan — 12 Weeks to Lighthouse Beta (38 tasks; v1.1 T23 split)</t>
        </is>
      </c>
    </row>
    <row r="3" ht="8" customHeight="1"/>
    <row r="4" ht="38" customHeight="1">
      <c r="B4" s="5" t="inlineStr">
        <is>
          <t>ID</t>
        </is>
      </c>
      <c r="C4" s="5" t="inlineStr">
        <is>
          <t>Workstream</t>
        </is>
      </c>
      <c r="D4" s="5" t="inlineStr">
        <is>
          <t>Task</t>
        </is>
      </c>
      <c r="E4" s="5" t="inlineStr">
        <is>
          <t>Owner</t>
        </is>
      </c>
      <c r="F4" s="5" t="inlineStr">
        <is>
          <t>Start Wk</t>
        </is>
      </c>
      <c r="G4" s="5" t="inlineStr">
        <is>
          <t>End Wk</t>
        </is>
      </c>
      <c r="H4" s="5" t="inlineStr">
        <is>
          <t>Depends On</t>
        </is>
      </c>
      <c r="I4" s="5" t="inlineStr">
        <is>
          <t>Deliverable</t>
        </is>
      </c>
      <c r="J4" s="5" t="inlineStr">
        <is>
          <t>Status</t>
        </is>
      </c>
      <c r="K4" s="5" t="inlineStr">
        <is>
          <t>% Done</t>
        </is>
      </c>
      <c r="L4" s="5" t="inlineStr">
        <is>
          <t>W1</t>
        </is>
      </c>
      <c r="M4" s="5" t="inlineStr">
        <is>
          <t>W2</t>
        </is>
      </c>
      <c r="N4" s="5" t="inlineStr">
        <is>
          <t>W3</t>
        </is>
      </c>
      <c r="O4" s="5" t="inlineStr">
        <is>
          <t>W4</t>
        </is>
      </c>
      <c r="P4" s="5" t="inlineStr">
        <is>
          <t>W5</t>
        </is>
      </c>
      <c r="Q4" s="5" t="inlineStr">
        <is>
          <t>W6</t>
        </is>
      </c>
      <c r="R4" s="5" t="inlineStr">
        <is>
          <t>W7</t>
        </is>
      </c>
      <c r="S4" s="5" t="inlineStr">
        <is>
          <t>W8</t>
        </is>
      </c>
      <c r="T4" s="5" t="inlineStr">
        <is>
          <t>W9</t>
        </is>
      </c>
      <c r="U4" s="5" t="inlineStr">
        <is>
          <t>W10</t>
        </is>
      </c>
      <c r="V4" s="5" t="inlineStr">
        <is>
          <t>W11</t>
        </is>
      </c>
      <c r="W4" s="5" t="inlineStr">
        <is>
          <t>W12</t>
        </is>
      </c>
    </row>
    <row r="5" ht="38" customHeight="1">
      <c r="B5" s="6" t="inlineStr">
        <is>
          <t>T01</t>
        </is>
      </c>
      <c r="C5" s="6" t="inlineStr">
        <is>
          <t>WS1 Core</t>
        </is>
      </c>
      <c r="D5" s="6" t="inlineStr">
        <is>
          <t>Finding schema + transcript evidence contract</t>
        </is>
      </c>
      <c r="E5" s="6" t="inlineStr">
        <is>
          <t>Arch</t>
        </is>
      </c>
      <c r="F5" s="20" t="n">
        <v>1</v>
      </c>
      <c r="G5" s="20" t="n">
        <v>1</v>
      </c>
      <c r="H5" s="6" t="inlineStr">
        <is>
          <t>-</t>
        </is>
      </c>
      <c r="I5" s="6" t="inlineStr">
        <is>
          <t>Schema v1</t>
        </is>
      </c>
      <c r="J5" s="21" t="inlineStr">
        <is>
          <t>Not Started</t>
        </is>
      </c>
      <c r="K5" s="11" t="n">
        <v>0</v>
      </c>
      <c r="L5" s="22" t="str">
        <f>IF(AND(COLUMN()-11&gt;=$F5,COLUMN()-11&lt;=$G5),"#","")</f>
        <v>#</v>
      </c>
      <c r="M5" s="22">
        <f>IF(AND(COLUMN()-11&gt;=$F5,COLUMN()-11&lt;=$G5),"#","")</f>
        <v/>
      </c>
      <c r="N5" s="22">
        <f>IF(AND(COLUMN()-11&gt;=$F5,COLUMN()-11&lt;=$G5),"#","")</f>
        <v/>
      </c>
      <c r="O5" s="22">
        <f>IF(AND(COLUMN()-11&gt;=$F5,COLUMN()-11&lt;=$G5),"#","")</f>
        <v/>
      </c>
      <c r="P5" s="22">
        <f>IF(AND(COLUMN()-11&gt;=$F5,COLUMN()-11&lt;=$G5),"#","")</f>
        <v/>
      </c>
      <c r="Q5" s="22">
        <f>IF(AND(COLUMN()-11&gt;=$F5,COLUMN()-11&lt;=$G5),"#","")</f>
        <v/>
      </c>
      <c r="R5" s="22">
        <f>IF(AND(COLUMN()-11&gt;=$F5,COLUMN()-11&lt;=$G5),"#","")</f>
        <v/>
      </c>
      <c r="S5" s="22">
        <f>IF(AND(COLUMN()-11&gt;=$F5,COLUMN()-11&lt;=$G5),"#","")</f>
        <v/>
      </c>
      <c r="T5" s="22">
        <f>IF(AND(COLUMN()-11&gt;=$F5,COLUMN()-11&lt;=$G5),"#","")</f>
        <v/>
      </c>
      <c r="U5" s="22">
        <f>IF(AND(COLUMN()-11&gt;=$F5,COLUMN()-11&lt;=$G5),"#","")</f>
        <v/>
      </c>
      <c r="V5" s="22">
        <f>IF(AND(COLUMN()-11&gt;=$F5,COLUMN()-11&lt;=$G5),"#","")</f>
        <v/>
      </c>
      <c r="W5" s="22">
        <f>IF(AND(COLUMN()-11&gt;=$F5,COLUMN()-11&lt;=$G5),"#","")</f>
        <v/>
      </c>
    </row>
    <row r="6" ht="38" customHeight="1">
      <c r="B6" s="7" t="inlineStr">
        <is>
          <t>T02</t>
        </is>
      </c>
      <c r="C6" s="7" t="inlineStr">
        <is>
          <t>WS1 Core</t>
        </is>
      </c>
      <c r="D6" s="7" t="inlineStr">
        <is>
          <t>Technique catalog v1 (40 techniques, OWASP/ATLAS mapped)</t>
        </is>
      </c>
      <c r="E6" s="7" t="inlineStr">
        <is>
          <t>ASE1</t>
        </is>
      </c>
      <c r="F6" s="23" t="n">
        <v>1</v>
      </c>
      <c r="G6" s="23" t="n">
        <v>2</v>
      </c>
      <c r="H6" s="7" t="inlineStr">
        <is>
          <t>T01</t>
        </is>
      </c>
      <c r="I6" s="7" t="inlineStr">
        <is>
          <t>Technique catalog v1</t>
        </is>
      </c>
      <c r="J6" s="24" t="inlineStr">
        <is>
          <t>Not Started</t>
        </is>
      </c>
      <c r="K6" s="14" t="n">
        <v>0</v>
      </c>
      <c r="L6" s="25" t="str">
        <f>IF(AND(COLUMN()-11&gt;=$F6,COLUMN()-11&lt;=$G6),"#","")</f>
        <v>#</v>
      </c>
      <c r="M6" s="25" t="str">
        <f>IF(AND(COLUMN()-11&gt;=$F6,COLUMN()-11&lt;=$G6),"#","")</f>
        <v>#</v>
      </c>
      <c r="N6" s="25">
        <f>IF(AND(COLUMN()-11&gt;=$F6,COLUMN()-11&lt;=$G6),"#","")</f>
        <v/>
      </c>
      <c r="O6" s="25">
        <f>IF(AND(COLUMN()-11&gt;=$F6,COLUMN()-11&lt;=$G6),"#","")</f>
        <v/>
      </c>
      <c r="P6" s="25">
        <f>IF(AND(COLUMN()-11&gt;=$F6,COLUMN()-11&lt;=$G6),"#","")</f>
        <v/>
      </c>
      <c r="Q6" s="25">
        <f>IF(AND(COLUMN()-11&gt;=$F6,COLUMN()-11&lt;=$G6),"#","")</f>
        <v/>
      </c>
      <c r="R6" s="25">
        <f>IF(AND(COLUMN()-11&gt;=$F6,COLUMN()-11&lt;=$G6),"#","")</f>
        <v/>
      </c>
      <c r="S6" s="25">
        <f>IF(AND(COLUMN()-11&gt;=$F6,COLUMN()-11&lt;=$G6),"#","")</f>
        <v/>
      </c>
      <c r="T6" s="25">
        <f>IF(AND(COLUMN()-11&gt;=$F6,COLUMN()-11&lt;=$G6),"#","")</f>
        <v/>
      </c>
      <c r="U6" s="25">
        <f>IF(AND(COLUMN()-11&gt;=$F6,COLUMN()-11&lt;=$G6),"#","")</f>
        <v/>
      </c>
      <c r="V6" s="25">
        <f>IF(AND(COLUMN()-11&gt;=$F6,COLUMN()-11&lt;=$G6),"#","")</f>
        <v/>
      </c>
      <c r="W6" s="25">
        <f>IF(AND(COLUMN()-11&gt;=$F6,COLUMN()-11&lt;=$G6),"#","")</f>
        <v/>
      </c>
    </row>
    <row r="7" ht="38" customHeight="1">
      <c r="B7" s="6" t="inlineStr">
        <is>
          <t>T03</t>
        </is>
      </c>
      <c r="C7" s="6" t="inlineStr">
        <is>
          <t>WS1 Core</t>
        </is>
      </c>
      <c r="D7" s="6" t="inlineStr">
        <is>
          <t>Judge framework: rule detectors + LLM-as-judge + combine</t>
        </is>
      </c>
      <c r="E7" s="6" t="inlineStr">
        <is>
          <t>ASE2</t>
        </is>
      </c>
      <c r="F7" s="20" t="n">
        <v>1</v>
      </c>
      <c r="G7" s="20" t="n">
        <v>2</v>
      </c>
      <c r="H7" s="6" t="inlineStr">
        <is>
          <t>T01</t>
        </is>
      </c>
      <c r="I7" s="6" t="inlineStr">
        <is>
          <t>mcp-judge v0</t>
        </is>
      </c>
      <c r="J7" s="21" t="inlineStr">
        <is>
          <t>Not Started</t>
        </is>
      </c>
      <c r="K7" s="11" t="n">
        <v>0</v>
      </c>
      <c r="L7" s="22" t="str">
        <f>IF(AND(COLUMN()-11&gt;=$F7,COLUMN()-11&lt;=$G7),"#","")</f>
        <v>#</v>
      </c>
      <c r="M7" s="22" t="str">
        <f>IF(AND(COLUMN()-11&gt;=$F7,COLUMN()-11&lt;=$G7),"#","")</f>
        <v>#</v>
      </c>
      <c r="N7" s="22">
        <f>IF(AND(COLUMN()-11&gt;=$F7,COLUMN()-11&lt;=$G7),"#","")</f>
        <v/>
      </c>
      <c r="O7" s="22">
        <f>IF(AND(COLUMN()-11&gt;=$F7,COLUMN()-11&lt;=$G7),"#","")</f>
        <v/>
      </c>
      <c r="P7" s="22">
        <f>IF(AND(COLUMN()-11&gt;=$F7,COLUMN()-11&lt;=$G7),"#","")</f>
        <v/>
      </c>
      <c r="Q7" s="22">
        <f>IF(AND(COLUMN()-11&gt;=$F7,COLUMN()-11&lt;=$G7),"#","")</f>
        <v/>
      </c>
      <c r="R7" s="22">
        <f>IF(AND(COLUMN()-11&gt;=$F7,COLUMN()-11&lt;=$G7),"#","")</f>
        <v/>
      </c>
      <c r="S7" s="22">
        <f>IF(AND(COLUMN()-11&gt;=$F7,COLUMN()-11&lt;=$G7),"#","")</f>
        <v/>
      </c>
      <c r="T7" s="22">
        <f>IF(AND(COLUMN()-11&gt;=$F7,COLUMN()-11&lt;=$G7),"#","")</f>
        <v/>
      </c>
      <c r="U7" s="22">
        <f>IF(AND(COLUMN()-11&gt;=$F7,COLUMN()-11&lt;=$G7),"#","")</f>
        <v/>
      </c>
      <c r="V7" s="22">
        <f>IF(AND(COLUMN()-11&gt;=$F7,COLUMN()-11&lt;=$G7),"#","")</f>
        <v/>
      </c>
      <c r="W7" s="22">
        <f>IF(AND(COLUMN()-11&gt;=$F7,COLUMN()-11&lt;=$G7),"#","")</f>
        <v/>
      </c>
    </row>
    <row r="8" ht="38" customHeight="1">
      <c r="B8" s="7" t="inlineStr">
        <is>
          <t>T04</t>
        </is>
      </c>
      <c r="C8" s="7" t="inlineStr">
        <is>
          <t>WS1 Core</t>
        </is>
      </c>
      <c r="D8" s="7" t="inlineStr">
        <is>
          <t>OPA severity + scorecard dimension rules</t>
        </is>
      </c>
      <c r="E8" s="7" t="inlineStr">
        <is>
          <t>ASE1</t>
        </is>
      </c>
      <c r="F8" s="23" t="n">
        <v>1</v>
      </c>
      <c r="G8" s="23" t="n">
        <v>2</v>
      </c>
      <c r="H8" s="7" t="inlineStr">
        <is>
          <t>T01</t>
        </is>
      </c>
      <c r="I8" s="7" t="inlineStr">
        <is>
          <t>Rego pack v0</t>
        </is>
      </c>
      <c r="J8" s="24" t="inlineStr">
        <is>
          <t>Not Started</t>
        </is>
      </c>
      <c r="K8" s="14" t="n">
        <v>0</v>
      </c>
      <c r="L8" s="25" t="str">
        <f>IF(AND(COLUMN()-11&gt;=$F8,COLUMN()-11&lt;=$G8),"#","")</f>
        <v>#</v>
      </c>
      <c r="M8" s="25" t="str">
        <f>IF(AND(COLUMN()-11&gt;=$F8,COLUMN()-11&lt;=$G8),"#","")</f>
        <v>#</v>
      </c>
      <c r="N8" s="25">
        <f>IF(AND(COLUMN()-11&gt;=$F8,COLUMN()-11&lt;=$G8),"#","")</f>
        <v/>
      </c>
      <c r="O8" s="25">
        <f>IF(AND(COLUMN()-11&gt;=$F8,COLUMN()-11&lt;=$G8),"#","")</f>
        <v/>
      </c>
      <c r="P8" s="25">
        <f>IF(AND(COLUMN()-11&gt;=$F8,COLUMN()-11&lt;=$G8),"#","")</f>
        <v/>
      </c>
      <c r="Q8" s="25">
        <f>IF(AND(COLUMN()-11&gt;=$F8,COLUMN()-11&lt;=$G8),"#","")</f>
        <v/>
      </c>
      <c r="R8" s="25">
        <f>IF(AND(COLUMN()-11&gt;=$F8,COLUMN()-11&lt;=$G8),"#","")</f>
        <v/>
      </c>
      <c r="S8" s="25">
        <f>IF(AND(COLUMN()-11&gt;=$F8,COLUMN()-11&lt;=$G8),"#","")</f>
        <v/>
      </c>
      <c r="T8" s="25">
        <f>IF(AND(COLUMN()-11&gt;=$F8,COLUMN()-11&lt;=$G8),"#","")</f>
        <v/>
      </c>
      <c r="U8" s="25">
        <f>IF(AND(COLUMN()-11&gt;=$F8,COLUMN()-11&lt;=$G8),"#","")</f>
        <v/>
      </c>
      <c r="V8" s="25">
        <f>IF(AND(COLUMN()-11&gt;=$F8,COLUMN()-11&lt;=$G8),"#","")</f>
        <v/>
      </c>
      <c r="W8" s="25">
        <f>IF(AND(COLUMN()-11&gt;=$F8,COLUMN()-11&lt;=$G8),"#","")</f>
        <v/>
      </c>
    </row>
    <row r="9" ht="38" customHeight="1">
      <c r="B9" s="6" t="inlineStr">
        <is>
          <t>T05</t>
        </is>
      </c>
      <c r="C9" s="6" t="inlineStr">
        <is>
          <t>WS2 Targets</t>
        </is>
      </c>
      <c r="D9" s="6" t="inlineStr">
        <is>
          <t>Target adapter (OpenAI-compat + tool calls)</t>
        </is>
      </c>
      <c r="E9" s="6" t="inlineStr">
        <is>
          <t>ASE2</t>
        </is>
      </c>
      <c r="F9" s="20" t="n">
        <v>2</v>
      </c>
      <c r="G9" s="20" t="n">
        <v>3</v>
      </c>
      <c r="H9" s="6" t="inlineStr">
        <is>
          <t>T01</t>
        </is>
      </c>
      <c r="I9" s="6" t="inlineStr">
        <is>
          <t>mcp-target-adapter</t>
        </is>
      </c>
      <c r="J9" s="21" t="inlineStr">
        <is>
          <t>Not Started</t>
        </is>
      </c>
      <c r="K9" s="11" t="n">
        <v>0</v>
      </c>
      <c r="L9" s="22">
        <f>IF(AND(COLUMN()-11&gt;=$F9,COLUMN()-11&lt;=$G9),"#","")</f>
        <v/>
      </c>
      <c r="M9" s="22" t="str">
        <f>IF(AND(COLUMN()-11&gt;=$F9,COLUMN()-11&lt;=$G9),"#","")</f>
        <v>#</v>
      </c>
      <c r="N9" s="22" t="str">
        <f>IF(AND(COLUMN()-11&gt;=$F9,COLUMN()-11&lt;=$G9),"#","")</f>
        <v>#</v>
      </c>
      <c r="O9" s="22">
        <f>IF(AND(COLUMN()-11&gt;=$F9,COLUMN()-11&lt;=$G9),"#","")</f>
        <v/>
      </c>
      <c r="P9" s="22">
        <f>IF(AND(COLUMN()-11&gt;=$F9,COLUMN()-11&lt;=$G9),"#","")</f>
        <v/>
      </c>
      <c r="Q9" s="22">
        <f>IF(AND(COLUMN()-11&gt;=$F9,COLUMN()-11&lt;=$G9),"#","")</f>
        <v/>
      </c>
      <c r="R9" s="22">
        <f>IF(AND(COLUMN()-11&gt;=$F9,COLUMN()-11&lt;=$G9),"#","")</f>
        <v/>
      </c>
      <c r="S9" s="22">
        <f>IF(AND(COLUMN()-11&gt;=$F9,COLUMN()-11&lt;=$G9),"#","")</f>
        <v/>
      </c>
      <c r="T9" s="22">
        <f>IF(AND(COLUMN()-11&gt;=$F9,COLUMN()-11&lt;=$G9),"#","")</f>
        <v/>
      </c>
      <c r="U9" s="22">
        <f>IF(AND(COLUMN()-11&gt;=$F9,COLUMN()-11&lt;=$G9),"#","")</f>
        <v/>
      </c>
      <c r="V9" s="22">
        <f>IF(AND(COLUMN()-11&gt;=$F9,COLUMN()-11&lt;=$G9),"#","")</f>
        <v/>
      </c>
      <c r="W9" s="22">
        <f>IF(AND(COLUMN()-11&gt;=$F9,COLUMN()-11&lt;=$G9),"#","")</f>
        <v/>
      </c>
    </row>
    <row r="10" ht="38" customHeight="1">
      <c r="B10" s="7" t="inlineStr">
        <is>
          <t>T06</t>
        </is>
      </c>
      <c r="C10" s="7" t="inlineStr">
        <is>
          <t>WS2 Targets</t>
        </is>
      </c>
      <c r="D10" s="7" t="inlineStr">
        <is>
          <t>Browser automation adapter for chat UIs</t>
        </is>
      </c>
      <c r="E10" s="7" t="inlineStr">
        <is>
          <t>ASE2</t>
        </is>
      </c>
      <c r="F10" s="23" t="n">
        <v>3</v>
      </c>
      <c r="G10" s="23" t="n">
        <v>4</v>
      </c>
      <c r="H10" s="7" t="inlineStr">
        <is>
          <t>T05</t>
        </is>
      </c>
      <c r="I10" s="7" t="inlineStr">
        <is>
          <t>mcp-browser</t>
        </is>
      </c>
      <c r="J10" s="24" t="inlineStr">
        <is>
          <t>Not Started</t>
        </is>
      </c>
      <c r="K10" s="14" t="n">
        <v>0</v>
      </c>
      <c r="L10" s="25">
        <f>IF(AND(COLUMN()-11&gt;=$F10,COLUMN()-11&lt;=$G10),"#","")</f>
        <v/>
      </c>
      <c r="M10" s="25">
        <f>IF(AND(COLUMN()-11&gt;=$F10,COLUMN()-11&lt;=$G10),"#","")</f>
        <v/>
      </c>
      <c r="N10" s="25" t="str">
        <f>IF(AND(COLUMN()-11&gt;=$F10,COLUMN()-11&lt;=$G10),"#","")</f>
        <v>#</v>
      </c>
      <c r="O10" s="25" t="str">
        <f>IF(AND(COLUMN()-11&gt;=$F10,COLUMN()-11&lt;=$G10),"#","")</f>
        <v>#</v>
      </c>
      <c r="P10" s="25">
        <f>IF(AND(COLUMN()-11&gt;=$F10,COLUMN()-11&lt;=$G10),"#","")</f>
        <v/>
      </c>
      <c r="Q10" s="25">
        <f>IF(AND(COLUMN()-11&gt;=$F10,COLUMN()-11&lt;=$G10),"#","")</f>
        <v/>
      </c>
      <c r="R10" s="25">
        <f>IF(AND(COLUMN()-11&gt;=$F10,COLUMN()-11&lt;=$G10),"#","")</f>
        <v/>
      </c>
      <c r="S10" s="25">
        <f>IF(AND(COLUMN()-11&gt;=$F10,COLUMN()-11&lt;=$G10),"#","")</f>
        <v/>
      </c>
      <c r="T10" s="25">
        <f>IF(AND(COLUMN()-11&gt;=$F10,COLUMN()-11&lt;=$G10),"#","")</f>
        <v/>
      </c>
      <c r="U10" s="25">
        <f>IF(AND(COLUMN()-11&gt;=$F10,COLUMN()-11&lt;=$G10),"#","")</f>
        <v/>
      </c>
      <c r="V10" s="25">
        <f>IF(AND(COLUMN()-11&gt;=$F10,COLUMN()-11&lt;=$G10),"#","")</f>
        <v/>
      </c>
      <c r="W10" s="25">
        <f>IF(AND(COLUMN()-11&gt;=$F10,COLUMN()-11&lt;=$G10),"#","")</f>
        <v/>
      </c>
    </row>
    <row r="11" ht="38" customHeight="1">
      <c r="B11" s="6" t="inlineStr">
        <is>
          <t>T07</t>
        </is>
      </c>
      <c r="C11" s="6" t="inlineStr">
        <is>
          <t>WS2 Targets</t>
        </is>
      </c>
      <c r="D11" s="6" t="inlineStr">
        <is>
          <t>Canary/honeytoken framework + webhook listener</t>
        </is>
      </c>
      <c r="E11" s="6" t="inlineStr">
        <is>
          <t>ASE1</t>
        </is>
      </c>
      <c r="F11" s="20" t="n">
        <v>2</v>
      </c>
      <c r="G11" s="20" t="n">
        <v>3</v>
      </c>
      <c r="H11" s="6" t="inlineStr">
        <is>
          <t>T01</t>
        </is>
      </c>
      <c r="I11" s="6" t="inlineStr">
        <is>
          <t>mcp-canary</t>
        </is>
      </c>
      <c r="J11" s="21" t="inlineStr">
        <is>
          <t>Not Started</t>
        </is>
      </c>
      <c r="K11" s="11" t="n">
        <v>0</v>
      </c>
      <c r="L11" s="22">
        <f>IF(AND(COLUMN()-11&gt;=$F11,COLUMN()-11&lt;=$G11),"#","")</f>
        <v/>
      </c>
      <c r="M11" s="22" t="str">
        <f>IF(AND(COLUMN()-11&gt;=$F11,COLUMN()-11&lt;=$G11),"#","")</f>
        <v>#</v>
      </c>
      <c r="N11" s="22" t="str">
        <f>IF(AND(COLUMN()-11&gt;=$F11,COLUMN()-11&lt;=$G11),"#","")</f>
        <v>#</v>
      </c>
      <c r="O11" s="22">
        <f>IF(AND(COLUMN()-11&gt;=$F11,COLUMN()-11&lt;=$G11),"#","")</f>
        <v/>
      </c>
      <c r="P11" s="22">
        <f>IF(AND(COLUMN()-11&gt;=$F11,COLUMN()-11&lt;=$G11),"#","")</f>
        <v/>
      </c>
      <c r="Q11" s="22">
        <f>IF(AND(COLUMN()-11&gt;=$F11,COLUMN()-11&lt;=$G11),"#","")</f>
        <v/>
      </c>
      <c r="R11" s="22">
        <f>IF(AND(COLUMN()-11&gt;=$F11,COLUMN()-11&lt;=$G11),"#","")</f>
        <v/>
      </c>
      <c r="S11" s="22">
        <f>IF(AND(COLUMN()-11&gt;=$F11,COLUMN()-11&lt;=$G11),"#","")</f>
        <v/>
      </c>
      <c r="T11" s="22">
        <f>IF(AND(COLUMN()-11&gt;=$F11,COLUMN()-11&lt;=$G11),"#","")</f>
        <v/>
      </c>
      <c r="U11" s="22">
        <f>IF(AND(COLUMN()-11&gt;=$F11,COLUMN()-11&lt;=$G11),"#","")</f>
        <v/>
      </c>
      <c r="V11" s="22">
        <f>IF(AND(COLUMN()-11&gt;=$F11,COLUMN()-11&lt;=$G11),"#","")</f>
        <v/>
      </c>
      <c r="W11" s="22">
        <f>IF(AND(COLUMN()-11&gt;=$F11,COLUMN()-11&lt;=$G11),"#","")</f>
        <v/>
      </c>
    </row>
    <row r="12" ht="38" customHeight="1">
      <c r="B12" s="7" t="inlineStr">
        <is>
          <t>T08</t>
        </is>
      </c>
      <c r="C12" s="7" t="inlineStr">
        <is>
          <t>WS3 Packs</t>
        </is>
      </c>
      <c r="D12" s="7" t="inlineStr">
        <is>
          <t>PIN pack v1 (10 techniques, seeds + variants)</t>
        </is>
      </c>
      <c r="E12" s="7" t="inlineStr">
        <is>
          <t>PE</t>
        </is>
      </c>
      <c r="F12" s="23" t="n">
        <v>3</v>
      </c>
      <c r="G12" s="23" t="n">
        <v>4</v>
      </c>
      <c r="H12" s="7" t="inlineStr">
        <is>
          <t>T02</t>
        </is>
      </c>
      <c r="I12" s="7" t="inlineStr">
        <is>
          <t>PIN pack + evals</t>
        </is>
      </c>
      <c r="J12" s="24" t="inlineStr">
        <is>
          <t>Not Started</t>
        </is>
      </c>
      <c r="K12" s="14" t="n">
        <v>0</v>
      </c>
      <c r="L12" s="25">
        <f>IF(AND(COLUMN()-11&gt;=$F12,COLUMN()-11&lt;=$G12),"#","")</f>
        <v/>
      </c>
      <c r="M12" s="25">
        <f>IF(AND(COLUMN()-11&gt;=$F12,COLUMN()-11&lt;=$G12),"#","")</f>
        <v/>
      </c>
      <c r="N12" s="25" t="str">
        <f>IF(AND(COLUMN()-11&gt;=$F12,COLUMN()-11&lt;=$G12),"#","")</f>
        <v>#</v>
      </c>
      <c r="O12" s="25" t="str">
        <f>IF(AND(COLUMN()-11&gt;=$F12,COLUMN()-11&lt;=$G12),"#","")</f>
        <v>#</v>
      </c>
      <c r="P12" s="25">
        <f>IF(AND(COLUMN()-11&gt;=$F12,COLUMN()-11&lt;=$G12),"#","")</f>
        <v/>
      </c>
      <c r="Q12" s="25">
        <f>IF(AND(COLUMN()-11&gt;=$F12,COLUMN()-11&lt;=$G12),"#","")</f>
        <v/>
      </c>
      <c r="R12" s="25">
        <f>IF(AND(COLUMN()-11&gt;=$F12,COLUMN()-11&lt;=$G12),"#","")</f>
        <v/>
      </c>
      <c r="S12" s="25">
        <f>IF(AND(COLUMN()-11&gt;=$F12,COLUMN()-11&lt;=$G12),"#","")</f>
        <v/>
      </c>
      <c r="T12" s="25">
        <f>IF(AND(COLUMN()-11&gt;=$F12,COLUMN()-11&lt;=$G12),"#","")</f>
        <v/>
      </c>
      <c r="U12" s="25">
        <f>IF(AND(COLUMN()-11&gt;=$F12,COLUMN()-11&lt;=$G12),"#","")</f>
        <v/>
      </c>
      <c r="V12" s="25">
        <f>IF(AND(COLUMN()-11&gt;=$F12,COLUMN()-11&lt;=$G12),"#","")</f>
        <v/>
      </c>
      <c r="W12" s="25">
        <f>IF(AND(COLUMN()-11&gt;=$F12,COLUMN()-11&lt;=$G12),"#","")</f>
        <v/>
      </c>
    </row>
    <row r="13" ht="38" customHeight="1">
      <c r="B13" s="6" t="inlineStr">
        <is>
          <t>T09</t>
        </is>
      </c>
      <c r="C13" s="6" t="inlineStr">
        <is>
          <t>WS3 Packs</t>
        </is>
      </c>
      <c r="D13" s="6" t="inlineStr">
        <is>
          <t>EXF pack v1 (7 techniques, canary-driven)</t>
        </is>
      </c>
      <c r="E13" s="6" t="inlineStr">
        <is>
          <t>PE</t>
        </is>
      </c>
      <c r="F13" s="20" t="n">
        <v>3</v>
      </c>
      <c r="G13" s="20" t="n">
        <v>4</v>
      </c>
      <c r="H13" s="6" t="inlineStr">
        <is>
          <t>T07</t>
        </is>
      </c>
      <c r="I13" s="6" t="inlineStr">
        <is>
          <t>EXF pack + evals</t>
        </is>
      </c>
      <c r="J13" s="21" t="inlineStr">
        <is>
          <t>Not Started</t>
        </is>
      </c>
      <c r="K13" s="11" t="n">
        <v>0</v>
      </c>
      <c r="L13" s="22">
        <f>IF(AND(COLUMN()-11&gt;=$F13,COLUMN()-11&lt;=$G13),"#","")</f>
        <v/>
      </c>
      <c r="M13" s="22">
        <f>IF(AND(COLUMN()-11&gt;=$F13,COLUMN()-11&lt;=$G13),"#","")</f>
        <v/>
      </c>
      <c r="N13" s="22" t="str">
        <f>IF(AND(COLUMN()-11&gt;=$F13,COLUMN()-11&lt;=$G13),"#","")</f>
        <v>#</v>
      </c>
      <c r="O13" s="22" t="str">
        <f>IF(AND(COLUMN()-11&gt;=$F13,COLUMN()-11&lt;=$G13),"#","")</f>
        <v>#</v>
      </c>
      <c r="P13" s="22">
        <f>IF(AND(COLUMN()-11&gt;=$F13,COLUMN()-11&lt;=$G13),"#","")</f>
        <v/>
      </c>
      <c r="Q13" s="22">
        <f>IF(AND(COLUMN()-11&gt;=$F13,COLUMN()-11&lt;=$G13),"#","")</f>
        <v/>
      </c>
      <c r="R13" s="22">
        <f>IF(AND(COLUMN()-11&gt;=$F13,COLUMN()-11&lt;=$G13),"#","")</f>
        <v/>
      </c>
      <c r="S13" s="22">
        <f>IF(AND(COLUMN()-11&gt;=$F13,COLUMN()-11&lt;=$G13),"#","")</f>
        <v/>
      </c>
      <c r="T13" s="22">
        <f>IF(AND(COLUMN()-11&gt;=$F13,COLUMN()-11&lt;=$G13),"#","")</f>
        <v/>
      </c>
      <c r="U13" s="22">
        <f>IF(AND(COLUMN()-11&gt;=$F13,COLUMN()-11&lt;=$G13),"#","")</f>
        <v/>
      </c>
      <c r="V13" s="22">
        <f>IF(AND(COLUMN()-11&gt;=$F13,COLUMN()-11&lt;=$G13),"#","")</f>
        <v/>
      </c>
      <c r="W13" s="22">
        <f>IF(AND(COLUMN()-11&gt;=$F13,COLUMN()-11&lt;=$G13),"#","")</f>
        <v/>
      </c>
    </row>
    <row r="14" ht="38" customHeight="1">
      <c r="B14" s="7" t="inlineStr">
        <is>
          <t>T10</t>
        </is>
      </c>
      <c r="C14" s="7" t="inlineStr">
        <is>
          <t>WS3 Packs</t>
        </is>
      </c>
      <c r="D14" s="7" t="inlineStr">
        <is>
          <t>AGE/OUT packs v1 (11 techniques)</t>
        </is>
      </c>
      <c r="E14" s="7" t="inlineStr">
        <is>
          <t>ASE1</t>
        </is>
      </c>
      <c r="F14" s="23" t="n">
        <v>4</v>
      </c>
      <c r="G14" s="23" t="n">
        <v>5</v>
      </c>
      <c r="H14" s="7" t="inlineStr">
        <is>
          <t>T05</t>
        </is>
      </c>
      <c r="I14" s="7" t="inlineStr">
        <is>
          <t>AGE+OUT packs</t>
        </is>
      </c>
      <c r="J14" s="24" t="inlineStr">
        <is>
          <t>Not Started</t>
        </is>
      </c>
      <c r="K14" s="14" t="n">
        <v>0</v>
      </c>
      <c r="L14" s="25">
        <f>IF(AND(COLUMN()-11&gt;=$F14,COLUMN()-11&lt;=$G14),"#","")</f>
        <v/>
      </c>
      <c r="M14" s="25">
        <f>IF(AND(COLUMN()-11&gt;=$F14,COLUMN()-11&lt;=$G14),"#","")</f>
        <v/>
      </c>
      <c r="N14" s="25">
        <f>IF(AND(COLUMN()-11&gt;=$F14,COLUMN()-11&lt;=$G14),"#","")</f>
        <v/>
      </c>
      <c r="O14" s="25" t="str">
        <f>IF(AND(COLUMN()-11&gt;=$F14,COLUMN()-11&lt;=$G14),"#","")</f>
        <v>#</v>
      </c>
      <c r="P14" s="25" t="str">
        <f>IF(AND(COLUMN()-11&gt;=$F14,COLUMN()-11&lt;=$G14),"#","")</f>
        <v>#</v>
      </c>
      <c r="Q14" s="25">
        <f>IF(AND(COLUMN()-11&gt;=$F14,COLUMN()-11&lt;=$G14),"#","")</f>
        <v/>
      </c>
      <c r="R14" s="25">
        <f>IF(AND(COLUMN()-11&gt;=$F14,COLUMN()-11&lt;=$G14),"#","")</f>
        <v/>
      </c>
      <c r="S14" s="25">
        <f>IF(AND(COLUMN()-11&gt;=$F14,COLUMN()-11&lt;=$G14),"#","")</f>
        <v/>
      </c>
      <c r="T14" s="25">
        <f>IF(AND(COLUMN()-11&gt;=$F14,COLUMN()-11&lt;=$G14),"#","")</f>
        <v/>
      </c>
      <c r="U14" s="25">
        <f>IF(AND(COLUMN()-11&gt;=$F14,COLUMN()-11&lt;=$G14),"#","")</f>
        <v/>
      </c>
      <c r="V14" s="25">
        <f>IF(AND(COLUMN()-11&gt;=$F14,COLUMN()-11&lt;=$G14),"#","")</f>
        <v/>
      </c>
      <c r="W14" s="25">
        <f>IF(AND(COLUMN()-11&gt;=$F14,COLUMN()-11&lt;=$G14),"#","")</f>
        <v/>
      </c>
    </row>
    <row r="15" ht="38" customHeight="1">
      <c r="B15" s="6" t="inlineStr">
        <is>
          <t>T11</t>
        </is>
      </c>
      <c r="C15" s="6" t="inlineStr">
        <is>
          <t>WS3 Packs</t>
        </is>
      </c>
      <c r="D15" s="6" t="inlineStr">
        <is>
          <t>MEM/CON/HAL/SUP packs v1 (12 techniques)</t>
        </is>
      </c>
      <c r="E15" s="6" t="inlineStr">
        <is>
          <t>ASE2</t>
        </is>
      </c>
      <c r="F15" s="20" t="n">
        <v>4</v>
      </c>
      <c r="G15" s="20" t="n">
        <v>5</v>
      </c>
      <c r="H15" s="6" t="inlineStr">
        <is>
          <t>T02</t>
        </is>
      </c>
      <c r="I15" s="6" t="inlineStr">
        <is>
          <t>Remaining packs</t>
        </is>
      </c>
      <c r="J15" s="21" t="inlineStr">
        <is>
          <t>Not Started</t>
        </is>
      </c>
      <c r="K15" s="11" t="n">
        <v>0</v>
      </c>
      <c r="L15" s="22">
        <f>IF(AND(COLUMN()-11&gt;=$F15,COLUMN()-11&lt;=$G15),"#","")</f>
        <v/>
      </c>
      <c r="M15" s="22">
        <f>IF(AND(COLUMN()-11&gt;=$F15,COLUMN()-11&lt;=$G15),"#","")</f>
        <v/>
      </c>
      <c r="N15" s="22">
        <f>IF(AND(COLUMN()-11&gt;=$F15,COLUMN()-11&lt;=$G15),"#","")</f>
        <v/>
      </c>
      <c r="O15" s="22" t="str">
        <f>IF(AND(COLUMN()-11&gt;=$F15,COLUMN()-11&lt;=$G15),"#","")</f>
        <v>#</v>
      </c>
      <c r="P15" s="22" t="str">
        <f>IF(AND(COLUMN()-11&gt;=$F15,COLUMN()-11&lt;=$G15),"#","")</f>
        <v>#</v>
      </c>
      <c r="Q15" s="22">
        <f>IF(AND(COLUMN()-11&gt;=$F15,COLUMN()-11&lt;=$G15),"#","")</f>
        <v/>
      </c>
      <c r="R15" s="22">
        <f>IF(AND(COLUMN()-11&gt;=$F15,COLUMN()-11&lt;=$G15),"#","")</f>
        <v/>
      </c>
      <c r="S15" s="22">
        <f>IF(AND(COLUMN()-11&gt;=$F15,COLUMN()-11&lt;=$G15),"#","")</f>
        <v/>
      </c>
      <c r="T15" s="22">
        <f>IF(AND(COLUMN()-11&gt;=$F15,COLUMN()-11&lt;=$G15),"#","")</f>
        <v/>
      </c>
      <c r="U15" s="22">
        <f>IF(AND(COLUMN()-11&gt;=$F15,COLUMN()-11&lt;=$G15),"#","")</f>
        <v/>
      </c>
      <c r="V15" s="22">
        <f>IF(AND(COLUMN()-11&gt;=$F15,COLUMN()-11&lt;=$G15),"#","")</f>
        <v/>
      </c>
      <c r="W15" s="22">
        <f>IF(AND(COLUMN()-11&gt;=$F15,COLUMN()-11&lt;=$G15),"#","")</f>
        <v/>
      </c>
    </row>
    <row r="16" ht="38" customHeight="1">
      <c r="B16" s="7" t="inlineStr">
        <is>
          <t>T12</t>
        </is>
      </c>
      <c r="C16" s="7" t="inlineStr">
        <is>
          <t>WS4 MCP</t>
        </is>
      </c>
      <c r="D16" s="7" t="inlineStr">
        <is>
          <t>PyRIT + Garak + promptfoo MCP wrappers</t>
        </is>
      </c>
      <c r="E16" s="7" t="inlineStr">
        <is>
          <t>ASE2</t>
        </is>
      </c>
      <c r="F16" s="23" t="n">
        <v>5</v>
      </c>
      <c r="G16" s="23" t="n">
        <v>6</v>
      </c>
      <c r="H16" s="7" t="inlineStr">
        <is>
          <t>T05</t>
        </is>
      </c>
      <c r="I16" s="7" t="inlineStr">
        <is>
          <t>3 attack servers</t>
        </is>
      </c>
      <c r="J16" s="24" t="inlineStr">
        <is>
          <t>Not Started</t>
        </is>
      </c>
      <c r="K16" s="14" t="n">
        <v>0</v>
      </c>
      <c r="L16" s="25">
        <f>IF(AND(COLUMN()-11&gt;=$F16,COLUMN()-11&lt;=$G16),"#","")</f>
        <v/>
      </c>
      <c r="M16" s="25">
        <f>IF(AND(COLUMN()-11&gt;=$F16,COLUMN()-11&lt;=$G16),"#","")</f>
        <v/>
      </c>
      <c r="N16" s="25">
        <f>IF(AND(COLUMN()-11&gt;=$F16,COLUMN()-11&lt;=$G16),"#","")</f>
        <v/>
      </c>
      <c r="O16" s="25">
        <f>IF(AND(COLUMN()-11&gt;=$F16,COLUMN()-11&lt;=$G16),"#","")</f>
        <v/>
      </c>
      <c r="P16" s="25" t="str">
        <f>IF(AND(COLUMN()-11&gt;=$F16,COLUMN()-11&lt;=$G16),"#","")</f>
        <v>#</v>
      </c>
      <c r="Q16" s="25" t="str">
        <f>IF(AND(COLUMN()-11&gt;=$F16,COLUMN()-11&lt;=$G16),"#","")</f>
        <v>#</v>
      </c>
      <c r="R16" s="25">
        <f>IF(AND(COLUMN()-11&gt;=$F16,COLUMN()-11&lt;=$G16),"#","")</f>
        <v/>
      </c>
      <c r="S16" s="25">
        <f>IF(AND(COLUMN()-11&gt;=$F16,COLUMN()-11&lt;=$G16),"#","")</f>
        <v/>
      </c>
      <c r="T16" s="25">
        <f>IF(AND(COLUMN()-11&gt;=$F16,COLUMN()-11&lt;=$G16),"#","")</f>
        <v/>
      </c>
      <c r="U16" s="25">
        <f>IF(AND(COLUMN()-11&gt;=$F16,COLUMN()-11&lt;=$G16),"#","")</f>
        <v/>
      </c>
      <c r="V16" s="25">
        <f>IF(AND(COLUMN()-11&gt;=$F16,COLUMN()-11&lt;=$G16),"#","")</f>
        <v/>
      </c>
      <c r="W16" s="25">
        <f>IF(AND(COLUMN()-11&gt;=$F16,COLUMN()-11&lt;=$G16),"#","")</f>
        <v/>
      </c>
    </row>
    <row r="17" ht="22" customHeight="1">
      <c r="B17" s="6" t="inlineStr">
        <is>
          <t>T13</t>
        </is>
      </c>
      <c r="C17" s="6" t="inlineStr">
        <is>
          <t>WS5 Agents</t>
        </is>
      </c>
      <c r="D17" s="6" t="inlineStr">
        <is>
          <t>Mission Control + Recon agents</t>
        </is>
      </c>
      <c r="E17" s="6" t="inlineStr">
        <is>
          <t>AE</t>
        </is>
      </c>
      <c r="F17" s="20" t="n">
        <v>5</v>
      </c>
      <c r="G17" s="20" t="n">
        <v>6</v>
      </c>
      <c r="H17" s="6" t="inlineStr">
        <is>
          <t>T05</t>
        </is>
      </c>
      <c r="I17" s="6" t="inlineStr">
        <is>
          <t>2 agents + tests</t>
        </is>
      </c>
      <c r="J17" s="21" t="inlineStr">
        <is>
          <t>Not Started</t>
        </is>
      </c>
      <c r="K17" s="11" t="n">
        <v>0</v>
      </c>
      <c r="L17" s="22">
        <f>IF(AND(COLUMN()-11&gt;=$F17,COLUMN()-11&lt;=$G17),"#","")</f>
        <v/>
      </c>
      <c r="M17" s="22">
        <f>IF(AND(COLUMN()-11&gt;=$F17,COLUMN()-11&lt;=$G17),"#","")</f>
        <v/>
      </c>
      <c r="N17" s="22">
        <f>IF(AND(COLUMN()-11&gt;=$F17,COLUMN()-11&lt;=$G17),"#","")</f>
        <v/>
      </c>
      <c r="O17" s="22">
        <f>IF(AND(COLUMN()-11&gt;=$F17,COLUMN()-11&lt;=$G17),"#","")</f>
        <v/>
      </c>
      <c r="P17" s="22" t="str">
        <f>IF(AND(COLUMN()-11&gt;=$F17,COLUMN()-11&lt;=$G17),"#","")</f>
        <v>#</v>
      </c>
      <c r="Q17" s="22" t="str">
        <f>IF(AND(COLUMN()-11&gt;=$F17,COLUMN()-11&lt;=$G17),"#","")</f>
        <v>#</v>
      </c>
      <c r="R17" s="22">
        <f>IF(AND(COLUMN()-11&gt;=$F17,COLUMN()-11&lt;=$G17),"#","")</f>
        <v/>
      </c>
      <c r="S17" s="22">
        <f>IF(AND(COLUMN()-11&gt;=$F17,COLUMN()-11&lt;=$G17),"#","")</f>
        <v/>
      </c>
      <c r="T17" s="22">
        <f>IF(AND(COLUMN()-11&gt;=$F17,COLUMN()-11&lt;=$G17),"#","")</f>
        <v/>
      </c>
      <c r="U17" s="22">
        <f>IF(AND(COLUMN()-11&gt;=$F17,COLUMN()-11&lt;=$G17),"#","")</f>
        <v/>
      </c>
      <c r="V17" s="22">
        <f>IF(AND(COLUMN()-11&gt;=$F17,COLUMN()-11&lt;=$G17),"#","")</f>
        <v/>
      </c>
      <c r="W17" s="22">
        <f>IF(AND(COLUMN()-11&gt;=$F17,COLUMN()-11&lt;=$G17),"#","")</f>
        <v/>
      </c>
    </row>
    <row r="18" ht="38" customHeight="1">
      <c r="B18" s="7" t="inlineStr">
        <is>
          <t>T14</t>
        </is>
      </c>
      <c r="C18" s="7" t="inlineStr">
        <is>
          <t>WS5 Agents</t>
        </is>
      </c>
      <c r="D18" s="7" t="inlineStr">
        <is>
          <t>Red Operator agents + budget enforcement</t>
        </is>
      </c>
      <c r="E18" s="7" t="inlineStr">
        <is>
          <t>AE</t>
        </is>
      </c>
      <c r="F18" s="23" t="n">
        <v>5</v>
      </c>
      <c r="G18" s="23" t="n">
        <v>6</v>
      </c>
      <c r="H18" s="7" t="inlineStr">
        <is>
          <t>T12</t>
        </is>
      </c>
      <c r="I18" s="7" t="inlineStr">
        <is>
          <t>Operator fleet</t>
        </is>
      </c>
      <c r="J18" s="24" t="inlineStr">
        <is>
          <t>Not Started</t>
        </is>
      </c>
      <c r="K18" s="14" t="n">
        <v>0</v>
      </c>
      <c r="L18" s="25">
        <f>IF(AND(COLUMN()-11&gt;=$F18,COLUMN()-11&lt;=$G18),"#","")</f>
        <v/>
      </c>
      <c r="M18" s="25">
        <f>IF(AND(COLUMN()-11&gt;=$F18,COLUMN()-11&lt;=$G18),"#","")</f>
        <v/>
      </c>
      <c r="N18" s="25">
        <f>IF(AND(COLUMN()-11&gt;=$F18,COLUMN()-11&lt;=$G18),"#","")</f>
        <v/>
      </c>
      <c r="O18" s="25">
        <f>IF(AND(COLUMN()-11&gt;=$F18,COLUMN()-11&lt;=$G18),"#","")</f>
        <v/>
      </c>
      <c r="P18" s="25" t="str">
        <f>IF(AND(COLUMN()-11&gt;=$F18,COLUMN()-11&lt;=$G18),"#","")</f>
        <v>#</v>
      </c>
      <c r="Q18" s="25" t="str">
        <f>IF(AND(COLUMN()-11&gt;=$F18,COLUMN()-11&lt;=$G18),"#","")</f>
        <v>#</v>
      </c>
      <c r="R18" s="25">
        <f>IF(AND(COLUMN()-11&gt;=$F18,COLUMN()-11&lt;=$G18),"#","")</f>
        <v/>
      </c>
      <c r="S18" s="25">
        <f>IF(AND(COLUMN()-11&gt;=$F18,COLUMN()-11&lt;=$G18),"#","")</f>
        <v/>
      </c>
      <c r="T18" s="25">
        <f>IF(AND(COLUMN()-11&gt;=$F18,COLUMN()-11&lt;=$G18),"#","")</f>
        <v/>
      </c>
      <c r="U18" s="25">
        <f>IF(AND(COLUMN()-11&gt;=$F18,COLUMN()-11&lt;=$G18),"#","")</f>
        <v/>
      </c>
      <c r="V18" s="25">
        <f>IF(AND(COLUMN()-11&gt;=$F18,COLUMN()-11&lt;=$G18),"#","")</f>
        <v/>
      </c>
      <c r="W18" s="25">
        <f>IF(AND(COLUMN()-11&gt;=$F18,COLUMN()-11&lt;=$G18),"#","")</f>
        <v/>
      </c>
    </row>
    <row r="19" ht="38" customHeight="1">
      <c r="B19" s="6" t="inlineStr">
        <is>
          <t>T15</t>
        </is>
      </c>
      <c r="C19" s="6" t="inlineStr">
        <is>
          <t>WS5 Agents</t>
        </is>
      </c>
      <c r="D19" s="6" t="inlineStr">
        <is>
          <t>Judge + Mutator (bounded rounds) agents</t>
        </is>
      </c>
      <c r="E19" s="6" t="inlineStr">
        <is>
          <t>AE</t>
        </is>
      </c>
      <c r="F19" s="20" t="n">
        <v>6</v>
      </c>
      <c r="G19" s="20" t="n">
        <v>7</v>
      </c>
      <c r="H19" s="6" t="inlineStr">
        <is>
          <t>T03, T12</t>
        </is>
      </c>
      <c r="I19" s="6" t="inlineStr">
        <is>
          <t>Judge+Mutator agents</t>
        </is>
      </c>
      <c r="J19" s="21" t="inlineStr">
        <is>
          <t>Not Started</t>
        </is>
      </c>
      <c r="K19" s="11" t="n">
        <v>0</v>
      </c>
      <c r="L19" s="22">
        <f>IF(AND(COLUMN()-11&gt;=$F19,COLUMN()-11&lt;=$G19),"#","")</f>
        <v/>
      </c>
      <c r="M19" s="22">
        <f>IF(AND(COLUMN()-11&gt;=$F19,COLUMN()-11&lt;=$G19),"#","")</f>
        <v/>
      </c>
      <c r="N19" s="22">
        <f>IF(AND(COLUMN()-11&gt;=$F19,COLUMN()-11&lt;=$G19),"#","")</f>
        <v/>
      </c>
      <c r="O19" s="22">
        <f>IF(AND(COLUMN()-11&gt;=$F19,COLUMN()-11&lt;=$G19),"#","")</f>
        <v/>
      </c>
      <c r="P19" s="22">
        <f>IF(AND(COLUMN()-11&gt;=$F19,COLUMN()-11&lt;=$G19),"#","")</f>
        <v/>
      </c>
      <c r="Q19" s="22" t="str">
        <f>IF(AND(COLUMN()-11&gt;=$F19,COLUMN()-11&lt;=$G19),"#","")</f>
        <v>#</v>
      </c>
      <c r="R19" s="22" t="str">
        <f>IF(AND(COLUMN()-11&gt;=$F19,COLUMN()-11&lt;=$G19),"#","")</f>
        <v>#</v>
      </c>
      <c r="S19" s="22">
        <f>IF(AND(COLUMN()-11&gt;=$F19,COLUMN()-11&lt;=$G19),"#","")</f>
        <v/>
      </c>
      <c r="T19" s="22">
        <f>IF(AND(COLUMN()-11&gt;=$F19,COLUMN()-11&lt;=$G19),"#","")</f>
        <v/>
      </c>
      <c r="U19" s="22">
        <f>IF(AND(COLUMN()-11&gt;=$F19,COLUMN()-11&lt;=$G19),"#","")</f>
        <v/>
      </c>
      <c r="V19" s="22">
        <f>IF(AND(COLUMN()-11&gt;=$F19,COLUMN()-11&lt;=$G19),"#","")</f>
        <v/>
      </c>
      <c r="W19" s="22">
        <f>IF(AND(COLUMN()-11&gt;=$F19,COLUMN()-11&lt;=$G19),"#","")</f>
        <v/>
      </c>
    </row>
    <row r="20" ht="22" customHeight="1">
      <c r="B20" s="7" t="inlineStr">
        <is>
          <t>T16</t>
        </is>
      </c>
      <c r="C20" s="7" t="inlineStr">
        <is>
          <t>WS5 Agents</t>
        </is>
      </c>
      <c r="D20" s="7" t="inlineStr">
        <is>
          <t>Chain-Builder agent</t>
        </is>
      </c>
      <c r="E20" s="7" t="inlineStr">
        <is>
          <t>AE</t>
        </is>
      </c>
      <c r="F20" s="23" t="n">
        <v>7</v>
      </c>
      <c r="G20" s="23" t="n">
        <v>8</v>
      </c>
      <c r="H20" s="7" t="inlineStr">
        <is>
          <t>T15</t>
        </is>
      </c>
      <c r="I20" s="7" t="inlineStr">
        <is>
          <t>Chain-Builder agent</t>
        </is>
      </c>
      <c r="J20" s="24" t="inlineStr">
        <is>
          <t>Not Started</t>
        </is>
      </c>
      <c r="K20" s="14" t="n">
        <v>0</v>
      </c>
      <c r="L20" s="25">
        <f>IF(AND(COLUMN()-11&gt;=$F20,COLUMN()-11&lt;=$G20),"#","")</f>
        <v/>
      </c>
      <c r="M20" s="25">
        <f>IF(AND(COLUMN()-11&gt;=$F20,COLUMN()-11&lt;=$G20),"#","")</f>
        <v/>
      </c>
      <c r="N20" s="25">
        <f>IF(AND(COLUMN()-11&gt;=$F20,COLUMN()-11&lt;=$G20),"#","")</f>
        <v/>
      </c>
      <c r="O20" s="25">
        <f>IF(AND(COLUMN()-11&gt;=$F20,COLUMN()-11&lt;=$G20),"#","")</f>
        <v/>
      </c>
      <c r="P20" s="25">
        <f>IF(AND(COLUMN()-11&gt;=$F20,COLUMN()-11&lt;=$G20),"#","")</f>
        <v/>
      </c>
      <c r="Q20" s="25">
        <f>IF(AND(COLUMN()-11&gt;=$F20,COLUMN()-11&lt;=$G20),"#","")</f>
        <v/>
      </c>
      <c r="R20" s="25" t="str">
        <f>IF(AND(COLUMN()-11&gt;=$F20,COLUMN()-11&lt;=$G20),"#","")</f>
        <v>#</v>
      </c>
      <c r="S20" s="25" t="str">
        <f>IF(AND(COLUMN()-11&gt;=$F20,COLUMN()-11&lt;=$G20),"#","")</f>
        <v>#</v>
      </c>
      <c r="T20" s="25">
        <f>IF(AND(COLUMN()-11&gt;=$F20,COLUMN()-11&lt;=$G20),"#","")</f>
        <v/>
      </c>
      <c r="U20" s="25">
        <f>IF(AND(COLUMN()-11&gt;=$F20,COLUMN()-11&lt;=$G20),"#","")</f>
        <v/>
      </c>
      <c r="V20" s="25">
        <f>IF(AND(COLUMN()-11&gt;=$F20,COLUMN()-11&lt;=$G20),"#","")</f>
        <v/>
      </c>
      <c r="W20" s="25">
        <f>IF(AND(COLUMN()-11&gt;=$F20,COLUMN()-11&lt;=$G20),"#","")</f>
        <v/>
      </c>
    </row>
    <row r="21" ht="38" customHeight="1">
      <c r="B21" s="6" t="inlineStr">
        <is>
          <t>T17</t>
        </is>
      </c>
      <c r="C21" s="6" t="inlineStr">
        <is>
          <t>WS6 Safety</t>
        </is>
      </c>
      <c r="D21" s="6" t="inlineStr">
        <is>
          <t>ROAI templates + Gatekeeper interrupts (two-person)</t>
        </is>
      </c>
      <c r="E21" s="6" t="inlineStr">
        <is>
          <t>EL</t>
        </is>
      </c>
      <c r="F21" s="20" t="n">
        <v>7</v>
      </c>
      <c r="G21" s="20" t="n">
        <v>8</v>
      </c>
      <c r="H21" s="6" t="inlineStr">
        <is>
          <t>T14</t>
        </is>
      </c>
      <c r="I21" s="6" t="inlineStr">
        <is>
          <t>Gate nodes in LangGraph</t>
        </is>
      </c>
      <c r="J21" s="21" t="inlineStr">
        <is>
          <t>Not Started</t>
        </is>
      </c>
      <c r="K21" s="11" t="n">
        <v>0</v>
      </c>
      <c r="L21" s="22">
        <f>IF(AND(COLUMN()-11&gt;=$F21,COLUMN()-11&lt;=$G21),"#","")</f>
        <v/>
      </c>
      <c r="M21" s="22">
        <f>IF(AND(COLUMN()-11&gt;=$F21,COLUMN()-11&lt;=$G21),"#","")</f>
        <v/>
      </c>
      <c r="N21" s="22">
        <f>IF(AND(COLUMN()-11&gt;=$F21,COLUMN()-11&lt;=$G21),"#","")</f>
        <v/>
      </c>
      <c r="O21" s="22">
        <f>IF(AND(COLUMN()-11&gt;=$F21,COLUMN()-11&lt;=$G21),"#","")</f>
        <v/>
      </c>
      <c r="P21" s="22">
        <f>IF(AND(COLUMN()-11&gt;=$F21,COLUMN()-11&lt;=$G21),"#","")</f>
        <v/>
      </c>
      <c r="Q21" s="22">
        <f>IF(AND(COLUMN()-11&gt;=$F21,COLUMN()-11&lt;=$G21),"#","")</f>
        <v/>
      </c>
      <c r="R21" s="22" t="str">
        <f>IF(AND(COLUMN()-11&gt;=$F21,COLUMN()-11&lt;=$G21),"#","")</f>
        <v>#</v>
      </c>
      <c r="S21" s="22" t="str">
        <f>IF(AND(COLUMN()-11&gt;=$F21,COLUMN()-11&lt;=$G21),"#","")</f>
        <v>#</v>
      </c>
      <c r="T21" s="22">
        <f>IF(AND(COLUMN()-11&gt;=$F21,COLUMN()-11&lt;=$G21),"#","")</f>
        <v/>
      </c>
      <c r="U21" s="22">
        <f>IF(AND(COLUMN()-11&gt;=$F21,COLUMN()-11&lt;=$G21),"#","")</f>
        <v/>
      </c>
      <c r="V21" s="22">
        <f>IF(AND(COLUMN()-11&gt;=$F21,COLUMN()-11&lt;=$G21),"#","")</f>
        <v/>
      </c>
      <c r="W21" s="22">
        <f>IF(AND(COLUMN()-11&gt;=$F21,COLUMN()-11&lt;=$G21),"#","")</f>
        <v/>
      </c>
    </row>
    <row r="22" ht="38" customHeight="1">
      <c r="B22" s="7" t="inlineStr">
        <is>
          <t>T18</t>
        </is>
      </c>
      <c r="C22" s="7" t="inlineStr">
        <is>
          <t>WS6 Safety</t>
        </is>
      </c>
      <c r="D22" s="7" t="inlineStr">
        <is>
          <t>Payload safety screen + rate caps + sandbox runner</t>
        </is>
      </c>
      <c r="E22" s="7" t="inlineStr">
        <is>
          <t>RT</t>
        </is>
      </c>
      <c r="F22" s="23" t="n">
        <v>7</v>
      </c>
      <c r="G22" s="23" t="n">
        <v>8</v>
      </c>
      <c r="H22" s="7" t="inlineStr">
        <is>
          <t>T14</t>
        </is>
      </c>
      <c r="I22" s="7" t="inlineStr">
        <is>
          <t>Safety layer + tests</t>
        </is>
      </c>
      <c r="J22" s="24" t="inlineStr">
        <is>
          <t>Not Started</t>
        </is>
      </c>
      <c r="K22" s="14" t="n">
        <v>0</v>
      </c>
      <c r="L22" s="25">
        <f>IF(AND(COLUMN()-11&gt;=$F22,COLUMN()-11&lt;=$G22),"#","")</f>
        <v/>
      </c>
      <c r="M22" s="25">
        <f>IF(AND(COLUMN()-11&gt;=$F22,COLUMN()-11&lt;=$G22),"#","")</f>
        <v/>
      </c>
      <c r="N22" s="25">
        <f>IF(AND(COLUMN()-11&gt;=$F22,COLUMN()-11&lt;=$G22),"#","")</f>
        <v/>
      </c>
      <c r="O22" s="25">
        <f>IF(AND(COLUMN()-11&gt;=$F22,COLUMN()-11&lt;=$G22),"#","")</f>
        <v/>
      </c>
      <c r="P22" s="25">
        <f>IF(AND(COLUMN()-11&gt;=$F22,COLUMN()-11&lt;=$G22),"#","")</f>
        <v/>
      </c>
      <c r="Q22" s="25">
        <f>IF(AND(COLUMN()-11&gt;=$F22,COLUMN()-11&lt;=$G22),"#","")</f>
        <v/>
      </c>
      <c r="R22" s="25" t="str">
        <f>IF(AND(COLUMN()-11&gt;=$F22,COLUMN()-11&lt;=$G22),"#","")</f>
        <v>#</v>
      </c>
      <c r="S22" s="25" t="str">
        <f>IF(AND(COLUMN()-11&gt;=$F22,COLUMN()-11&lt;=$G22),"#","")</f>
        <v>#</v>
      </c>
      <c r="T22" s="25">
        <f>IF(AND(COLUMN()-11&gt;=$F22,COLUMN()-11&lt;=$G22),"#","")</f>
        <v/>
      </c>
      <c r="U22" s="25">
        <f>IF(AND(COLUMN()-11&gt;=$F22,COLUMN()-11&lt;=$G22),"#","")</f>
        <v/>
      </c>
      <c r="V22" s="25">
        <f>IF(AND(COLUMN()-11&gt;=$F22,COLUMN()-11&lt;=$G22),"#","")</f>
        <v/>
      </c>
      <c r="W22" s="25">
        <f>IF(AND(COLUMN()-11&gt;=$F22,COLUMN()-11&lt;=$G22),"#","")</f>
        <v/>
      </c>
    </row>
    <row r="23" ht="38" customHeight="1">
      <c r="B23" s="6" t="inlineStr">
        <is>
          <t>T19</t>
        </is>
      </c>
      <c r="C23" s="6" t="inlineStr">
        <is>
          <t>WS5 Agents</t>
        </is>
      </c>
      <c r="D23" s="6" t="inlineStr">
        <is>
          <t>Verifier agent + FP-kill workflow</t>
        </is>
      </c>
      <c r="E23" s="6" t="inlineStr">
        <is>
          <t>AE</t>
        </is>
      </c>
      <c r="F23" s="20" t="n">
        <v>8</v>
      </c>
      <c r="G23" s="20" t="n">
        <v>8</v>
      </c>
      <c r="H23" s="6" t="inlineStr">
        <is>
          <t>T15</t>
        </is>
      </c>
      <c r="I23" s="6" t="inlineStr">
        <is>
          <t>Verifier agent</t>
        </is>
      </c>
      <c r="J23" s="21" t="inlineStr">
        <is>
          <t>Not Started</t>
        </is>
      </c>
      <c r="K23" s="11" t="n">
        <v>0</v>
      </c>
      <c r="L23" s="22">
        <f>IF(AND(COLUMN()-11&gt;=$F23,COLUMN()-11&lt;=$G23),"#","")</f>
        <v/>
      </c>
      <c r="M23" s="22">
        <f>IF(AND(COLUMN()-11&gt;=$F23,COLUMN()-11&lt;=$G23),"#","")</f>
        <v/>
      </c>
      <c r="N23" s="22">
        <f>IF(AND(COLUMN()-11&gt;=$F23,COLUMN()-11&lt;=$G23),"#","")</f>
        <v/>
      </c>
      <c r="O23" s="22">
        <f>IF(AND(COLUMN()-11&gt;=$F23,COLUMN()-11&lt;=$G23),"#","")</f>
        <v/>
      </c>
      <c r="P23" s="22">
        <f>IF(AND(COLUMN()-11&gt;=$F23,COLUMN()-11&lt;=$G23),"#","")</f>
        <v/>
      </c>
      <c r="Q23" s="22">
        <f>IF(AND(COLUMN()-11&gt;=$F23,COLUMN()-11&lt;=$G23),"#","")</f>
        <v/>
      </c>
      <c r="R23" s="22">
        <f>IF(AND(COLUMN()-11&gt;=$F23,COLUMN()-11&lt;=$G23),"#","")</f>
        <v/>
      </c>
      <c r="S23" s="22" t="str">
        <f>IF(AND(COLUMN()-11&gt;=$F23,COLUMN()-11&lt;=$G23),"#","")</f>
        <v>#</v>
      </c>
      <c r="T23" s="22">
        <f>IF(AND(COLUMN()-11&gt;=$F23,COLUMN()-11&lt;=$G23),"#","")</f>
        <v/>
      </c>
      <c r="U23" s="22">
        <f>IF(AND(COLUMN()-11&gt;=$F23,COLUMN()-11&lt;=$G23),"#","")</f>
        <v/>
      </c>
      <c r="V23" s="22">
        <f>IF(AND(COLUMN()-11&gt;=$F23,COLUMN()-11&lt;=$G23),"#","")</f>
        <v/>
      </c>
      <c r="W23" s="22">
        <f>IF(AND(COLUMN()-11&gt;=$F23,COLUMN()-11&lt;=$G23),"#","")</f>
        <v/>
      </c>
    </row>
    <row r="24" ht="22" customHeight="1">
      <c r="B24" s="7" t="inlineStr">
        <is>
          <t>T20</t>
        </is>
      </c>
      <c r="C24" s="7" t="inlineStr">
        <is>
          <t>WS7 Report</t>
        </is>
      </c>
      <c r="D24" s="7" t="inlineStr">
        <is>
          <t>Scorer (OPA scorecard) engine</t>
        </is>
      </c>
      <c r="E24" s="7" t="inlineStr">
        <is>
          <t>ASE1</t>
        </is>
      </c>
      <c r="F24" s="23" t="n">
        <v>8</v>
      </c>
      <c r="G24" s="23" t="n">
        <v>9</v>
      </c>
      <c r="H24" s="7" t="inlineStr">
        <is>
          <t>T04, T19</t>
        </is>
      </c>
      <c r="I24" s="7" t="inlineStr">
        <is>
          <t>Score engine v1</t>
        </is>
      </c>
      <c r="J24" s="24" t="inlineStr">
        <is>
          <t>Not Started</t>
        </is>
      </c>
      <c r="K24" s="14" t="n">
        <v>0</v>
      </c>
      <c r="L24" s="25">
        <f>IF(AND(COLUMN()-11&gt;=$F24,COLUMN()-11&lt;=$G24),"#","")</f>
        <v/>
      </c>
      <c r="M24" s="25">
        <f>IF(AND(COLUMN()-11&gt;=$F24,COLUMN()-11&lt;=$G24),"#","")</f>
        <v/>
      </c>
      <c r="N24" s="25">
        <f>IF(AND(COLUMN()-11&gt;=$F24,COLUMN()-11&lt;=$G24),"#","")</f>
        <v/>
      </c>
      <c r="O24" s="25">
        <f>IF(AND(COLUMN()-11&gt;=$F24,COLUMN()-11&lt;=$G24),"#","")</f>
        <v/>
      </c>
      <c r="P24" s="25">
        <f>IF(AND(COLUMN()-11&gt;=$F24,COLUMN()-11&lt;=$G24),"#","")</f>
        <v/>
      </c>
      <c r="Q24" s="25">
        <f>IF(AND(COLUMN()-11&gt;=$F24,COLUMN()-11&lt;=$G24),"#","")</f>
        <v/>
      </c>
      <c r="R24" s="25">
        <f>IF(AND(COLUMN()-11&gt;=$F24,COLUMN()-11&lt;=$G24),"#","")</f>
        <v/>
      </c>
      <c r="S24" s="25" t="str">
        <f>IF(AND(COLUMN()-11&gt;=$F24,COLUMN()-11&lt;=$G24),"#","")</f>
        <v>#</v>
      </c>
      <c r="T24" s="25" t="str">
        <f>IF(AND(COLUMN()-11&gt;=$F24,COLUMN()-11&lt;=$G24),"#","")</f>
        <v>#</v>
      </c>
      <c r="U24" s="25">
        <f>IF(AND(COLUMN()-11&gt;=$F24,COLUMN()-11&lt;=$G24),"#","")</f>
        <v/>
      </c>
      <c r="V24" s="25">
        <f>IF(AND(COLUMN()-11&gt;=$F24,COLUMN()-11&lt;=$G24),"#","")</f>
        <v/>
      </c>
      <c r="W24" s="25">
        <f>IF(AND(COLUMN()-11&gt;=$F24,COLUMN()-11&lt;=$G24),"#","")</f>
        <v/>
      </c>
    </row>
    <row r="25" ht="54" customHeight="1">
      <c r="B25" s="6" t="inlineStr">
        <is>
          <t>T21</t>
        </is>
      </c>
      <c r="C25" s="6" t="inlineStr">
        <is>
          <t>WS7 Report</t>
        </is>
      </c>
      <c r="D25" s="6" t="inlineStr">
        <is>
          <t>Compliance Mapper: AI Act Art 15 / ISO 42001 / NIST AI RMF tables</t>
        </is>
      </c>
      <c r="E25" s="6" t="inlineStr">
        <is>
          <t>ASE2</t>
        </is>
      </c>
      <c r="F25" s="20" t="n">
        <v>9</v>
      </c>
      <c r="G25" s="20" t="n">
        <v>9</v>
      </c>
      <c r="H25" s="6" t="inlineStr">
        <is>
          <t>T19</t>
        </is>
      </c>
      <c r="I25" s="6" t="inlineStr">
        <is>
          <t>Mapper + dossier gen</t>
        </is>
      </c>
      <c r="J25" s="21" t="inlineStr">
        <is>
          <t>Not Started</t>
        </is>
      </c>
      <c r="K25" s="11" t="n">
        <v>0</v>
      </c>
      <c r="L25" s="22">
        <f>IF(AND(COLUMN()-11&gt;=$F25,COLUMN()-11&lt;=$G25),"#","")</f>
        <v/>
      </c>
      <c r="M25" s="22">
        <f>IF(AND(COLUMN()-11&gt;=$F25,COLUMN()-11&lt;=$G25),"#","")</f>
        <v/>
      </c>
      <c r="N25" s="22">
        <f>IF(AND(COLUMN()-11&gt;=$F25,COLUMN()-11&lt;=$G25),"#","")</f>
        <v/>
      </c>
      <c r="O25" s="22">
        <f>IF(AND(COLUMN()-11&gt;=$F25,COLUMN()-11&lt;=$G25),"#","")</f>
        <v/>
      </c>
      <c r="P25" s="22">
        <f>IF(AND(COLUMN()-11&gt;=$F25,COLUMN()-11&lt;=$G25),"#","")</f>
        <v/>
      </c>
      <c r="Q25" s="22">
        <f>IF(AND(COLUMN()-11&gt;=$F25,COLUMN()-11&lt;=$G25),"#","")</f>
        <v/>
      </c>
      <c r="R25" s="22">
        <f>IF(AND(COLUMN()-11&gt;=$F25,COLUMN()-11&lt;=$G25),"#","")</f>
        <v/>
      </c>
      <c r="S25" s="22">
        <f>IF(AND(COLUMN()-11&gt;=$F25,COLUMN()-11&lt;=$G25),"#","")</f>
        <v/>
      </c>
      <c r="T25" s="22" t="str">
        <f>IF(AND(COLUMN()-11&gt;=$F25,COLUMN()-11&lt;=$G25),"#","")</f>
        <v>#</v>
      </c>
      <c r="U25" s="22">
        <f>IF(AND(COLUMN()-11&gt;=$F25,COLUMN()-11&lt;=$G25),"#","")</f>
        <v/>
      </c>
      <c r="V25" s="22">
        <f>IF(AND(COLUMN()-11&gt;=$F25,COLUMN()-11&lt;=$G25),"#","")</f>
        <v/>
      </c>
      <c r="W25" s="22">
        <f>IF(AND(COLUMN()-11&gt;=$F25,COLUMN()-11&lt;=$G25),"#","")</f>
        <v/>
      </c>
    </row>
    <row r="26" ht="22" customHeight="1">
      <c r="B26" s="7" t="inlineStr">
        <is>
          <t>T22</t>
        </is>
      </c>
      <c r="C26" s="7" t="inlineStr">
        <is>
          <t>WS7 Report</t>
        </is>
      </c>
      <c r="D26" s="7" t="inlineStr">
        <is>
          <t>Scribe agent + citation lint</t>
        </is>
      </c>
      <c r="E26" s="7" t="inlineStr">
        <is>
          <t>AE</t>
        </is>
      </c>
      <c r="F26" s="23" t="n">
        <v>9</v>
      </c>
      <c r="G26" s="23" t="n">
        <v>9</v>
      </c>
      <c r="H26" s="7" t="inlineStr">
        <is>
          <t>T19</t>
        </is>
      </c>
      <c r="I26" s="7" t="inlineStr">
        <is>
          <t>Scribe + lint</t>
        </is>
      </c>
      <c r="J26" s="24" t="inlineStr">
        <is>
          <t>Not Started</t>
        </is>
      </c>
      <c r="K26" s="14" t="n">
        <v>0</v>
      </c>
      <c r="L26" s="25">
        <f>IF(AND(COLUMN()-11&gt;=$F26,COLUMN()-11&lt;=$G26),"#","")</f>
        <v/>
      </c>
      <c r="M26" s="25">
        <f>IF(AND(COLUMN()-11&gt;=$F26,COLUMN()-11&lt;=$G26),"#","")</f>
        <v/>
      </c>
      <c r="N26" s="25">
        <f>IF(AND(COLUMN()-11&gt;=$F26,COLUMN()-11&lt;=$G26),"#","")</f>
        <v/>
      </c>
      <c r="O26" s="25">
        <f>IF(AND(COLUMN()-11&gt;=$F26,COLUMN()-11&lt;=$G26),"#","")</f>
        <v/>
      </c>
      <c r="P26" s="25">
        <f>IF(AND(COLUMN()-11&gt;=$F26,COLUMN()-11&lt;=$G26),"#","")</f>
        <v/>
      </c>
      <c r="Q26" s="25">
        <f>IF(AND(COLUMN()-11&gt;=$F26,COLUMN()-11&lt;=$G26),"#","")</f>
        <v/>
      </c>
      <c r="R26" s="25">
        <f>IF(AND(COLUMN()-11&gt;=$F26,COLUMN()-11&lt;=$G26),"#","")</f>
        <v/>
      </c>
      <c r="S26" s="25">
        <f>IF(AND(COLUMN()-11&gt;=$F26,COLUMN()-11&lt;=$G26),"#","")</f>
        <v/>
      </c>
      <c r="T26" s="25" t="str">
        <f>IF(AND(COLUMN()-11&gt;=$F26,COLUMN()-11&lt;=$G26),"#","")</f>
        <v>#</v>
      </c>
      <c r="U26" s="25">
        <f>IF(AND(COLUMN()-11&gt;=$F26,COLUMN()-11&lt;=$G26),"#","")</f>
        <v/>
      </c>
      <c r="V26" s="25">
        <f>IF(AND(COLUMN()-11&gt;=$F26,COLUMN()-11&lt;=$G26),"#","")</f>
        <v/>
      </c>
      <c r="W26" s="25">
        <f>IF(AND(COLUMN()-11&gt;=$F26,COLUMN()-11&lt;=$G26),"#","")</f>
        <v/>
      </c>
    </row>
    <row r="27" ht="70" customHeight="1">
      <c r="B27" s="6" t="inlineStr">
        <is>
          <t>T23a</t>
        </is>
      </c>
      <c r="C27" s="6" t="inlineStr">
        <is>
          <t>WS7 Report</t>
        </is>
      </c>
      <c r="D27" s="6" t="inlineStr">
        <is>
          <t>Console UI foundation: app shell, design tokens, routing, 10 screens w/ fixture data (Ops Mode)</t>
        </is>
      </c>
      <c r="E27" s="6" t="inlineStr">
        <is>
          <t>AE</t>
        </is>
      </c>
      <c r="F27" s="20" t="n">
        <v>9</v>
      </c>
      <c r="G27" s="20" t="n">
        <v>9</v>
      </c>
      <c r="H27" s="6" t="inlineStr">
        <is>
          <t>T20</t>
        </is>
      </c>
      <c r="I27" s="6" t="inlineStr">
        <is>
          <t>Console MVP (Ops Mode)</t>
        </is>
      </c>
      <c r="J27" s="21" t="inlineStr">
        <is>
          <t>Not Started</t>
        </is>
      </c>
      <c r="K27" s="11" t="n">
        <v>0</v>
      </c>
      <c r="L27" s="22">
        <f>IF(AND(COLUMN()-11&gt;=$F27,COLUMN()-11&lt;=$G27),"#","")</f>
        <v/>
      </c>
      <c r="M27" s="22">
        <f>IF(AND(COLUMN()-11&gt;=$F27,COLUMN()-11&lt;=$G27),"#","")</f>
        <v/>
      </c>
      <c r="N27" s="22">
        <f>IF(AND(COLUMN()-11&gt;=$F27,COLUMN()-11&lt;=$G27),"#","")</f>
        <v/>
      </c>
      <c r="O27" s="22">
        <f>IF(AND(COLUMN()-11&gt;=$F27,COLUMN()-11&lt;=$G27),"#","")</f>
        <v/>
      </c>
      <c r="P27" s="22">
        <f>IF(AND(COLUMN()-11&gt;=$F27,COLUMN()-11&lt;=$G27),"#","")</f>
        <v/>
      </c>
      <c r="Q27" s="22">
        <f>IF(AND(COLUMN()-11&gt;=$F27,COLUMN()-11&lt;=$G27),"#","")</f>
        <v/>
      </c>
      <c r="R27" s="22">
        <f>IF(AND(COLUMN()-11&gt;=$F27,COLUMN()-11&lt;=$G27),"#","")</f>
        <v/>
      </c>
      <c r="S27" s="22">
        <f>IF(AND(COLUMN()-11&gt;=$F27,COLUMN()-11&lt;=$G27),"#","")</f>
        <v/>
      </c>
      <c r="T27" s="22" t="str">
        <f>IF(AND(COLUMN()-11&gt;=$F27,COLUMN()-11&lt;=$G27),"#","")</f>
        <v>#</v>
      </c>
      <c r="U27" s="22">
        <f>IF(AND(COLUMN()-11&gt;=$F27,COLUMN()-11&lt;=$G27),"#","")</f>
        <v/>
      </c>
      <c r="V27" s="22">
        <f>IF(AND(COLUMN()-11&gt;=$F27,COLUMN()-11&lt;=$G27),"#","")</f>
        <v/>
      </c>
      <c r="W27" s="22">
        <f>IF(AND(COLUMN()-11&gt;=$F27,COLUMN()-11&lt;=$G27),"#","")</f>
        <v/>
      </c>
    </row>
    <row r="28" ht="86" customHeight="1">
      <c r="B28" s="7" t="inlineStr">
        <is>
          <t>T23b</t>
        </is>
      </c>
      <c r="C28" s="7" t="inlineStr">
        <is>
          <t>WS7 Report</t>
        </is>
      </c>
      <c r="D28" s="7" t="inlineStr">
        <is>
          <t>Mission Control live: SSE event bus, live DAG, streaming transcripts, gate inbox + Findings/Scorecard/Dossier + CI-gate widget</t>
        </is>
      </c>
      <c r="E28" s="7" t="inlineStr">
        <is>
          <t>AE</t>
        </is>
      </c>
      <c r="F28" s="23" t="n">
        <v>10</v>
      </c>
      <c r="G28" s="23" t="n">
        <v>10</v>
      </c>
      <c r="H28" s="7" t="inlineStr">
        <is>
          <t>T23a</t>
        </is>
      </c>
      <c r="I28" s="7" t="inlineStr">
        <is>
          <t>Live console</t>
        </is>
      </c>
      <c r="J28" s="24" t="inlineStr">
        <is>
          <t>Not Started</t>
        </is>
      </c>
      <c r="K28" s="14" t="n">
        <v>0</v>
      </c>
      <c r="L28" s="25">
        <f>IF(AND(COLUMN()-11&gt;=$F28,COLUMN()-11&lt;=$G28),"#","")</f>
        <v/>
      </c>
      <c r="M28" s="25">
        <f>IF(AND(COLUMN()-11&gt;=$F28,COLUMN()-11&lt;=$G28),"#","")</f>
        <v/>
      </c>
      <c r="N28" s="25">
        <f>IF(AND(COLUMN()-11&gt;=$F28,COLUMN()-11&lt;=$G28),"#","")</f>
        <v/>
      </c>
      <c r="O28" s="25">
        <f>IF(AND(COLUMN()-11&gt;=$F28,COLUMN()-11&lt;=$G28),"#","")</f>
        <v/>
      </c>
      <c r="P28" s="25">
        <f>IF(AND(COLUMN()-11&gt;=$F28,COLUMN()-11&lt;=$G28),"#","")</f>
        <v/>
      </c>
      <c r="Q28" s="25">
        <f>IF(AND(COLUMN()-11&gt;=$F28,COLUMN()-11&lt;=$G28),"#","")</f>
        <v/>
      </c>
      <c r="R28" s="25">
        <f>IF(AND(COLUMN()-11&gt;=$F28,COLUMN()-11&lt;=$G28),"#","")</f>
        <v/>
      </c>
      <c r="S28" s="25">
        <f>IF(AND(COLUMN()-11&gt;=$F28,COLUMN()-11&lt;=$G28),"#","")</f>
        <v/>
      </c>
      <c r="T28" s="25">
        <f>IF(AND(COLUMN()-11&gt;=$F28,COLUMN()-11&lt;=$G28),"#","")</f>
        <v/>
      </c>
      <c r="U28" s="25" t="str">
        <f>IF(AND(COLUMN()-11&gt;=$F28,COLUMN()-11&lt;=$G28),"#","")</f>
        <v>#</v>
      </c>
      <c r="V28" s="25">
        <f>IF(AND(COLUMN()-11&gt;=$F28,COLUMN()-11&lt;=$G28),"#","")</f>
        <v/>
      </c>
      <c r="W28" s="25">
        <f>IF(AND(COLUMN()-11&gt;=$F28,COLUMN()-11&lt;=$G28),"#","")</f>
        <v/>
      </c>
    </row>
    <row r="29" ht="86" customHeight="1">
      <c r="B29" s="6" t="inlineStr">
        <is>
          <t>T23c</t>
        </is>
      </c>
      <c r="C29" s="6" t="inlineStr">
        <is>
          <t>WS7 Report</t>
        </is>
      </c>
      <c r="D29" s="6" t="inlineStr">
        <is>
          <t>HUD/JARVIS layer: 3D swarm constellation (R3F), voice I/O (Web Speech), Copilot command core, briefing engine, replay scrubber</t>
        </is>
      </c>
      <c r="E29" s="6" t="inlineStr">
        <is>
          <t>AE</t>
        </is>
      </c>
      <c r="F29" s="20" t="n">
        <v>10</v>
      </c>
      <c r="G29" s="20" t="n">
        <v>10</v>
      </c>
      <c r="H29" s="6" t="inlineStr">
        <is>
          <t>T23b</t>
        </is>
      </c>
      <c r="I29" s="6" t="inlineStr">
        <is>
          <t>HUD Mode</t>
        </is>
      </c>
      <c r="J29" s="21" t="inlineStr">
        <is>
          <t>Not Started</t>
        </is>
      </c>
      <c r="K29" s="11" t="n">
        <v>0</v>
      </c>
      <c r="L29" s="22">
        <f>IF(AND(COLUMN()-11&gt;=$F29,COLUMN()-11&lt;=$G29),"#","")</f>
        <v/>
      </c>
      <c r="M29" s="22">
        <f>IF(AND(COLUMN()-11&gt;=$F29,COLUMN()-11&lt;=$G29),"#","")</f>
        <v/>
      </c>
      <c r="N29" s="22">
        <f>IF(AND(COLUMN()-11&gt;=$F29,COLUMN()-11&lt;=$G29),"#","")</f>
        <v/>
      </c>
      <c r="O29" s="22">
        <f>IF(AND(COLUMN()-11&gt;=$F29,COLUMN()-11&lt;=$G29),"#","")</f>
        <v/>
      </c>
      <c r="P29" s="22">
        <f>IF(AND(COLUMN()-11&gt;=$F29,COLUMN()-11&lt;=$G29),"#","")</f>
        <v/>
      </c>
      <c r="Q29" s="22">
        <f>IF(AND(COLUMN()-11&gt;=$F29,COLUMN()-11&lt;=$G29),"#","")</f>
        <v/>
      </c>
      <c r="R29" s="22">
        <f>IF(AND(COLUMN()-11&gt;=$F29,COLUMN()-11&lt;=$G29),"#","")</f>
        <v/>
      </c>
      <c r="S29" s="22">
        <f>IF(AND(COLUMN()-11&gt;=$F29,COLUMN()-11&lt;=$G29),"#","")</f>
        <v/>
      </c>
      <c r="T29" s="22">
        <f>IF(AND(COLUMN()-11&gt;=$F29,COLUMN()-11&lt;=$G29),"#","")</f>
        <v/>
      </c>
      <c r="U29" s="22" t="str">
        <f>IF(AND(COLUMN()-11&gt;=$F29,COLUMN()-11&lt;=$G29),"#","")</f>
        <v>#</v>
      </c>
      <c r="V29" s="22">
        <f>IF(AND(COLUMN()-11&gt;=$F29,COLUMN()-11&lt;=$G29),"#","")</f>
        <v/>
      </c>
      <c r="W29" s="22">
        <f>IF(AND(COLUMN()-11&gt;=$F29,COLUMN()-11&lt;=$G29),"#","")</f>
        <v/>
      </c>
    </row>
    <row r="30" ht="38" customHeight="1">
      <c r="B30" s="7" t="inlineStr">
        <is>
          <t>T24</t>
        </is>
      </c>
      <c r="C30" s="7" t="inlineStr">
        <is>
          <t>WS5 Agents</t>
        </is>
      </c>
      <c r="D30" s="7" t="inlineStr">
        <is>
          <t>Sentinel agent + monthly threat-intel pack pipeline</t>
        </is>
      </c>
      <c r="E30" s="7" t="inlineStr">
        <is>
          <t>AE</t>
        </is>
      </c>
      <c r="F30" s="23" t="n">
        <v>10</v>
      </c>
      <c r="G30" s="23" t="n">
        <v>10</v>
      </c>
      <c r="H30" s="7" t="inlineStr">
        <is>
          <t>T23</t>
        </is>
      </c>
      <c r="I30" s="7" t="inlineStr">
        <is>
          <t>Sentinel + pack feed</t>
        </is>
      </c>
      <c r="J30" s="24" t="inlineStr">
        <is>
          <t>Not Started</t>
        </is>
      </c>
      <c r="K30" s="14" t="n">
        <v>0</v>
      </c>
      <c r="L30" s="25">
        <f>IF(AND(COLUMN()-11&gt;=$F30,COLUMN()-11&lt;=$G30),"#","")</f>
        <v/>
      </c>
      <c r="M30" s="25">
        <f>IF(AND(COLUMN()-11&gt;=$F30,COLUMN()-11&lt;=$G30),"#","")</f>
        <v/>
      </c>
      <c r="N30" s="25">
        <f>IF(AND(COLUMN()-11&gt;=$F30,COLUMN()-11&lt;=$G30),"#","")</f>
        <v/>
      </c>
      <c r="O30" s="25">
        <f>IF(AND(COLUMN()-11&gt;=$F30,COLUMN()-11&lt;=$G30),"#","")</f>
        <v/>
      </c>
      <c r="P30" s="25">
        <f>IF(AND(COLUMN()-11&gt;=$F30,COLUMN()-11&lt;=$G30),"#","")</f>
        <v/>
      </c>
      <c r="Q30" s="25">
        <f>IF(AND(COLUMN()-11&gt;=$F30,COLUMN()-11&lt;=$G30),"#","")</f>
        <v/>
      </c>
      <c r="R30" s="25">
        <f>IF(AND(COLUMN()-11&gt;=$F30,COLUMN()-11&lt;=$G30),"#","")</f>
        <v/>
      </c>
      <c r="S30" s="25">
        <f>IF(AND(COLUMN()-11&gt;=$F30,COLUMN()-11&lt;=$G30),"#","")</f>
        <v/>
      </c>
      <c r="T30" s="25">
        <f>IF(AND(COLUMN()-11&gt;=$F30,COLUMN()-11&lt;=$G30),"#","")</f>
        <v/>
      </c>
      <c r="U30" s="25" t="str">
        <f>IF(AND(COLUMN()-11&gt;=$F30,COLUMN()-11&lt;=$G30),"#","")</f>
        <v>#</v>
      </c>
      <c r="V30" s="25">
        <f>IF(AND(COLUMN()-11&gt;=$F30,COLUMN()-11&lt;=$G30),"#","")</f>
        <v/>
      </c>
      <c r="W30" s="25">
        <f>IF(AND(COLUMN()-11&gt;=$F30,COLUMN()-11&lt;=$G30),"#","")</f>
        <v/>
      </c>
    </row>
    <row r="31" ht="38" customHeight="1">
      <c r="B31" s="6" t="inlineStr">
        <is>
          <t>T25</t>
        </is>
      </c>
      <c r="C31" s="6" t="inlineStr">
        <is>
          <t>WS8 PoC</t>
        </is>
      </c>
      <c r="D31" s="6" t="inlineStr">
        <is>
          <t>Internal PoC: full campaign vs Amdocs internal copilot</t>
        </is>
      </c>
      <c r="E31" s="6" t="inlineStr">
        <is>
          <t>EL</t>
        </is>
      </c>
      <c r="F31" s="20" t="n">
        <v>10</v>
      </c>
      <c r="G31" s="20" t="n">
        <v>10</v>
      </c>
      <c r="H31" s="6" t="inlineStr">
        <is>
          <t>T13-T24</t>
        </is>
      </c>
      <c r="I31" s="6" t="inlineStr">
        <is>
          <t>PoC evidence pack</t>
        </is>
      </c>
      <c r="J31" s="21" t="inlineStr">
        <is>
          <t>Not Started</t>
        </is>
      </c>
      <c r="K31" s="11" t="n">
        <v>0</v>
      </c>
      <c r="L31" s="22">
        <f>IF(AND(COLUMN()-11&gt;=$F31,COLUMN()-11&lt;=$G31),"#","")</f>
        <v/>
      </c>
      <c r="M31" s="22">
        <f>IF(AND(COLUMN()-11&gt;=$F31,COLUMN()-11&lt;=$G31),"#","")</f>
        <v/>
      </c>
      <c r="N31" s="22">
        <f>IF(AND(COLUMN()-11&gt;=$F31,COLUMN()-11&lt;=$G31),"#","")</f>
        <v/>
      </c>
      <c r="O31" s="22">
        <f>IF(AND(COLUMN()-11&gt;=$F31,COLUMN()-11&lt;=$G31),"#","")</f>
        <v/>
      </c>
      <c r="P31" s="22">
        <f>IF(AND(COLUMN()-11&gt;=$F31,COLUMN()-11&lt;=$G31),"#","")</f>
        <v/>
      </c>
      <c r="Q31" s="22">
        <f>IF(AND(COLUMN()-11&gt;=$F31,COLUMN()-11&lt;=$G31),"#","")</f>
        <v/>
      </c>
      <c r="R31" s="22">
        <f>IF(AND(COLUMN()-11&gt;=$F31,COLUMN()-11&lt;=$G31),"#","")</f>
        <v/>
      </c>
      <c r="S31" s="22">
        <f>IF(AND(COLUMN()-11&gt;=$F31,COLUMN()-11&lt;=$G31),"#","")</f>
        <v/>
      </c>
      <c r="T31" s="22">
        <f>IF(AND(COLUMN()-11&gt;=$F31,COLUMN()-11&lt;=$G31),"#","")</f>
        <v/>
      </c>
      <c r="U31" s="22" t="str">
        <f>IF(AND(COLUMN()-11&gt;=$F31,COLUMN()-11&lt;=$G31),"#","")</f>
        <v>#</v>
      </c>
      <c r="V31" s="22">
        <f>IF(AND(COLUMN()-11&gt;=$F31,COLUMN()-11&lt;=$G31),"#","")</f>
        <v/>
      </c>
      <c r="W31" s="22">
        <f>IF(AND(COLUMN()-11&gt;=$F31,COLUMN()-11&lt;=$G31),"#","")</f>
        <v/>
      </c>
    </row>
    <row r="32" ht="38" customHeight="1">
      <c r="B32" s="7" t="inlineStr">
        <is>
          <t>T26</t>
        </is>
      </c>
      <c r="C32" s="7" t="inlineStr">
        <is>
          <t>WS8 PoC</t>
        </is>
      </c>
      <c r="D32" s="7" t="inlineStr">
        <is>
          <t>Findings quality review (real vulns found?)</t>
        </is>
      </c>
      <c r="E32" s="7" t="inlineStr">
        <is>
          <t>RT</t>
        </is>
      </c>
      <c r="F32" s="23" t="n">
        <v>10</v>
      </c>
      <c r="G32" s="23" t="n">
        <v>10</v>
      </c>
      <c r="H32" s="7" t="inlineStr">
        <is>
          <t>T25</t>
        </is>
      </c>
      <c r="I32" s="7" t="inlineStr">
        <is>
          <t>QA report</t>
        </is>
      </c>
      <c r="J32" s="24" t="inlineStr">
        <is>
          <t>Not Started</t>
        </is>
      </c>
      <c r="K32" s="14" t="n">
        <v>0</v>
      </c>
      <c r="L32" s="25">
        <f>IF(AND(COLUMN()-11&gt;=$F32,COLUMN()-11&lt;=$G32),"#","")</f>
        <v/>
      </c>
      <c r="M32" s="25">
        <f>IF(AND(COLUMN()-11&gt;=$F32,COLUMN()-11&lt;=$G32),"#","")</f>
        <v/>
      </c>
      <c r="N32" s="25">
        <f>IF(AND(COLUMN()-11&gt;=$F32,COLUMN()-11&lt;=$G32),"#","")</f>
        <v/>
      </c>
      <c r="O32" s="25">
        <f>IF(AND(COLUMN()-11&gt;=$F32,COLUMN()-11&lt;=$G32),"#","")</f>
        <v/>
      </c>
      <c r="P32" s="25">
        <f>IF(AND(COLUMN()-11&gt;=$F32,COLUMN()-11&lt;=$G32),"#","")</f>
        <v/>
      </c>
      <c r="Q32" s="25">
        <f>IF(AND(COLUMN()-11&gt;=$F32,COLUMN()-11&lt;=$G32),"#","")</f>
        <v/>
      </c>
      <c r="R32" s="25">
        <f>IF(AND(COLUMN()-11&gt;=$F32,COLUMN()-11&lt;=$G32),"#","")</f>
        <v/>
      </c>
      <c r="S32" s="25">
        <f>IF(AND(COLUMN()-11&gt;=$F32,COLUMN()-11&lt;=$G32),"#","")</f>
        <v/>
      </c>
      <c r="T32" s="25">
        <f>IF(AND(COLUMN()-11&gt;=$F32,COLUMN()-11&lt;=$G32),"#","")</f>
        <v/>
      </c>
      <c r="U32" s="25" t="str">
        <f>IF(AND(COLUMN()-11&gt;=$F32,COLUMN()-11&lt;=$G32),"#","")</f>
        <v>#</v>
      </c>
      <c r="V32" s="25">
        <f>IF(AND(COLUMN()-11&gt;=$F32,COLUMN()-11&lt;=$G32),"#","")</f>
        <v/>
      </c>
      <c r="W32" s="25">
        <f>IF(AND(COLUMN()-11&gt;=$F32,COLUMN()-11&lt;=$G32),"#","")</f>
        <v/>
      </c>
    </row>
    <row r="33" ht="38" customHeight="1">
      <c r="B33" s="6" t="inlineStr">
        <is>
          <t>T27</t>
        </is>
      </c>
      <c r="C33" s="6" t="inlineStr">
        <is>
          <t>WS8 PoC</t>
        </is>
      </c>
      <c r="D33" s="6" t="inlineStr">
        <is>
          <t>FP-rate + judge-agreement audit (target FP &lt;=10%)</t>
        </is>
      </c>
      <c r="E33" s="6" t="inlineStr">
        <is>
          <t>ASE1</t>
        </is>
      </c>
      <c r="F33" s="20" t="n">
        <v>10</v>
      </c>
      <c r="G33" s="20" t="n">
        <v>10</v>
      </c>
      <c r="H33" s="6" t="inlineStr">
        <is>
          <t>T25</t>
        </is>
      </c>
      <c r="I33" s="6" t="inlineStr">
        <is>
          <t>Quality metrics report</t>
        </is>
      </c>
      <c r="J33" s="21" t="inlineStr">
        <is>
          <t>Not Started</t>
        </is>
      </c>
      <c r="K33" s="11" t="n">
        <v>0</v>
      </c>
      <c r="L33" s="22">
        <f>IF(AND(COLUMN()-11&gt;=$F33,COLUMN()-11&lt;=$G33),"#","")</f>
        <v/>
      </c>
      <c r="M33" s="22">
        <f>IF(AND(COLUMN()-11&gt;=$F33,COLUMN()-11&lt;=$G33),"#","")</f>
        <v/>
      </c>
      <c r="N33" s="22">
        <f>IF(AND(COLUMN()-11&gt;=$F33,COLUMN()-11&lt;=$G33),"#","")</f>
        <v/>
      </c>
      <c r="O33" s="22">
        <f>IF(AND(COLUMN()-11&gt;=$F33,COLUMN()-11&lt;=$G33),"#","")</f>
        <v/>
      </c>
      <c r="P33" s="22">
        <f>IF(AND(COLUMN()-11&gt;=$F33,COLUMN()-11&lt;=$G33),"#","")</f>
        <v/>
      </c>
      <c r="Q33" s="22">
        <f>IF(AND(COLUMN()-11&gt;=$F33,COLUMN()-11&lt;=$G33),"#","")</f>
        <v/>
      </c>
      <c r="R33" s="22">
        <f>IF(AND(COLUMN()-11&gt;=$F33,COLUMN()-11&lt;=$G33),"#","")</f>
        <v/>
      </c>
      <c r="S33" s="22">
        <f>IF(AND(COLUMN()-11&gt;=$F33,COLUMN()-11&lt;=$G33),"#","")</f>
        <v/>
      </c>
      <c r="T33" s="22">
        <f>IF(AND(COLUMN()-11&gt;=$F33,COLUMN()-11&lt;=$G33),"#","")</f>
        <v/>
      </c>
      <c r="U33" s="22" t="str">
        <f>IF(AND(COLUMN()-11&gt;=$F33,COLUMN()-11&lt;=$G33),"#","")</f>
        <v>#</v>
      </c>
      <c r="V33" s="22">
        <f>IF(AND(COLUMN()-11&gt;=$F33,COLUMN()-11&lt;=$G33),"#","")</f>
        <v/>
      </c>
      <c r="W33" s="22">
        <f>IF(AND(COLUMN()-11&gt;=$F33,COLUMN()-11&lt;=$G33),"#","")</f>
        <v/>
      </c>
    </row>
    <row r="34" ht="38" customHeight="1">
      <c r="B34" s="7" t="inlineStr">
        <is>
          <t>T28</t>
        </is>
      </c>
      <c r="C34" s="7" t="inlineStr">
        <is>
          <t>WS8 PoC</t>
        </is>
      </c>
      <c r="D34" s="7" t="inlineStr">
        <is>
          <t>Hardening + red-team the swarm itself</t>
        </is>
      </c>
      <c r="E34" s="7" t="inlineStr">
        <is>
          <t>RT</t>
        </is>
      </c>
      <c r="F34" s="23" t="n">
        <v>11</v>
      </c>
      <c r="G34" s="23" t="n">
        <v>11</v>
      </c>
      <c r="H34" s="7" t="inlineStr">
        <is>
          <t>T25</t>
        </is>
      </c>
      <c r="I34" s="7" t="inlineStr">
        <is>
          <t>Hardening report</t>
        </is>
      </c>
      <c r="J34" s="24" t="inlineStr">
        <is>
          <t>Not Started</t>
        </is>
      </c>
      <c r="K34" s="14" t="n">
        <v>0</v>
      </c>
      <c r="L34" s="25">
        <f>IF(AND(COLUMN()-11&gt;=$F34,COLUMN()-11&lt;=$G34),"#","")</f>
        <v/>
      </c>
      <c r="M34" s="25">
        <f>IF(AND(COLUMN()-11&gt;=$F34,COLUMN()-11&lt;=$G34),"#","")</f>
        <v/>
      </c>
      <c r="N34" s="25">
        <f>IF(AND(COLUMN()-11&gt;=$F34,COLUMN()-11&lt;=$G34),"#","")</f>
        <v/>
      </c>
      <c r="O34" s="25">
        <f>IF(AND(COLUMN()-11&gt;=$F34,COLUMN()-11&lt;=$G34),"#","")</f>
        <v/>
      </c>
      <c r="P34" s="25">
        <f>IF(AND(COLUMN()-11&gt;=$F34,COLUMN()-11&lt;=$G34),"#","")</f>
        <v/>
      </c>
      <c r="Q34" s="25">
        <f>IF(AND(COLUMN()-11&gt;=$F34,COLUMN()-11&lt;=$G34),"#","")</f>
        <v/>
      </c>
      <c r="R34" s="25">
        <f>IF(AND(COLUMN()-11&gt;=$F34,COLUMN()-11&lt;=$G34),"#","")</f>
        <v/>
      </c>
      <c r="S34" s="25">
        <f>IF(AND(COLUMN()-11&gt;=$F34,COLUMN()-11&lt;=$G34),"#","")</f>
        <v/>
      </c>
      <c r="T34" s="25">
        <f>IF(AND(COLUMN()-11&gt;=$F34,COLUMN()-11&lt;=$G34),"#","")</f>
        <v/>
      </c>
      <c r="U34" s="25">
        <f>IF(AND(COLUMN()-11&gt;=$F34,COLUMN()-11&lt;=$G34),"#","")</f>
        <v/>
      </c>
      <c r="V34" s="25" t="str">
        <f>IF(AND(COLUMN()-11&gt;=$F34,COLUMN()-11&lt;=$G34),"#","")</f>
        <v>#</v>
      </c>
      <c r="W34" s="25">
        <f>IF(AND(COLUMN()-11&gt;=$F34,COLUMN()-11&lt;=$G34),"#","")</f>
        <v/>
      </c>
    </row>
    <row r="35" ht="38" customHeight="1">
      <c r="B35" s="6" t="inlineStr">
        <is>
          <t>T29</t>
        </is>
      </c>
      <c r="C35" s="6" t="inlineStr">
        <is>
          <t>WS9 GTM</t>
        </is>
      </c>
      <c r="D35" s="6" t="inlineStr">
        <is>
          <t>Runbooks + ROAI legal templates</t>
        </is>
      </c>
      <c r="E35" s="6" t="inlineStr">
        <is>
          <t>EL</t>
        </is>
      </c>
      <c r="F35" s="20" t="n">
        <v>11</v>
      </c>
      <c r="G35" s="20" t="n">
        <v>11</v>
      </c>
      <c r="H35" s="6" t="inlineStr">
        <is>
          <t>T25</t>
        </is>
      </c>
      <c r="I35" s="6" t="inlineStr">
        <is>
          <t>Engagement kit</t>
        </is>
      </c>
      <c r="J35" s="21" t="inlineStr">
        <is>
          <t>Not Started</t>
        </is>
      </c>
      <c r="K35" s="11" t="n">
        <v>0</v>
      </c>
      <c r="L35" s="22">
        <f>IF(AND(COLUMN()-11&gt;=$F35,COLUMN()-11&lt;=$G35),"#","")</f>
        <v/>
      </c>
      <c r="M35" s="22">
        <f>IF(AND(COLUMN()-11&gt;=$F35,COLUMN()-11&lt;=$G35),"#","")</f>
        <v/>
      </c>
      <c r="N35" s="22">
        <f>IF(AND(COLUMN()-11&gt;=$F35,COLUMN()-11&lt;=$G35),"#","")</f>
        <v/>
      </c>
      <c r="O35" s="22">
        <f>IF(AND(COLUMN()-11&gt;=$F35,COLUMN()-11&lt;=$G35),"#","")</f>
        <v/>
      </c>
      <c r="P35" s="22">
        <f>IF(AND(COLUMN()-11&gt;=$F35,COLUMN()-11&lt;=$G35),"#","")</f>
        <v/>
      </c>
      <c r="Q35" s="22">
        <f>IF(AND(COLUMN()-11&gt;=$F35,COLUMN()-11&lt;=$G35),"#","")</f>
        <v/>
      </c>
      <c r="R35" s="22">
        <f>IF(AND(COLUMN()-11&gt;=$F35,COLUMN()-11&lt;=$G35),"#","")</f>
        <v/>
      </c>
      <c r="S35" s="22">
        <f>IF(AND(COLUMN()-11&gt;=$F35,COLUMN()-11&lt;=$G35),"#","")</f>
        <v/>
      </c>
      <c r="T35" s="22">
        <f>IF(AND(COLUMN()-11&gt;=$F35,COLUMN()-11&lt;=$G35),"#","")</f>
        <v/>
      </c>
      <c r="U35" s="22">
        <f>IF(AND(COLUMN()-11&gt;=$F35,COLUMN()-11&lt;=$G35),"#","")</f>
        <v/>
      </c>
      <c r="V35" s="22" t="str">
        <f>IF(AND(COLUMN()-11&gt;=$F35,COLUMN()-11&lt;=$G35),"#","")</f>
        <v>#</v>
      </c>
      <c r="W35" s="22">
        <f>IF(AND(COLUMN()-11&gt;=$F35,COLUMN()-11&lt;=$G35),"#","")</f>
        <v/>
      </c>
    </row>
    <row r="36" ht="38" customHeight="1">
      <c r="B36" s="7" t="inlineStr">
        <is>
          <t>T30</t>
        </is>
      </c>
      <c r="C36" s="7" t="inlineStr">
        <is>
          <t>WS9 GTM</t>
        </is>
      </c>
      <c r="D36" s="7" t="inlineStr">
        <is>
          <t>Adapter drift tests wired to CI</t>
        </is>
      </c>
      <c r="E36" s="7" t="inlineStr">
        <is>
          <t>ASE2</t>
        </is>
      </c>
      <c r="F36" s="23" t="n">
        <v>11</v>
      </c>
      <c r="G36" s="23" t="n">
        <v>11</v>
      </c>
      <c r="H36" s="7" t="inlineStr">
        <is>
          <t>T12</t>
        </is>
      </c>
      <c r="I36" s="7" t="inlineStr">
        <is>
          <t>Drift alarms</t>
        </is>
      </c>
      <c r="J36" s="24" t="inlineStr">
        <is>
          <t>Not Started</t>
        </is>
      </c>
      <c r="K36" s="14" t="n">
        <v>0</v>
      </c>
      <c r="L36" s="25">
        <f>IF(AND(COLUMN()-11&gt;=$F36,COLUMN()-11&lt;=$G36),"#","")</f>
        <v/>
      </c>
      <c r="M36" s="25">
        <f>IF(AND(COLUMN()-11&gt;=$F36,COLUMN()-11&lt;=$G36),"#","")</f>
        <v/>
      </c>
      <c r="N36" s="25">
        <f>IF(AND(COLUMN()-11&gt;=$F36,COLUMN()-11&lt;=$G36),"#","")</f>
        <v/>
      </c>
      <c r="O36" s="25">
        <f>IF(AND(COLUMN()-11&gt;=$F36,COLUMN()-11&lt;=$G36),"#","")</f>
        <v/>
      </c>
      <c r="P36" s="25">
        <f>IF(AND(COLUMN()-11&gt;=$F36,COLUMN()-11&lt;=$G36),"#","")</f>
        <v/>
      </c>
      <c r="Q36" s="25">
        <f>IF(AND(COLUMN()-11&gt;=$F36,COLUMN()-11&lt;=$G36),"#","")</f>
        <v/>
      </c>
      <c r="R36" s="25">
        <f>IF(AND(COLUMN()-11&gt;=$F36,COLUMN()-11&lt;=$G36),"#","")</f>
        <v/>
      </c>
      <c r="S36" s="25">
        <f>IF(AND(COLUMN()-11&gt;=$F36,COLUMN()-11&lt;=$G36),"#","")</f>
        <v/>
      </c>
      <c r="T36" s="25">
        <f>IF(AND(COLUMN()-11&gt;=$F36,COLUMN()-11&lt;=$G36),"#","")</f>
        <v/>
      </c>
      <c r="U36" s="25">
        <f>IF(AND(COLUMN()-11&gt;=$F36,COLUMN()-11&lt;=$G36),"#","")</f>
        <v/>
      </c>
      <c r="V36" s="25" t="str">
        <f>IF(AND(COLUMN()-11&gt;=$F36,COLUMN()-11&lt;=$G36),"#","")</f>
        <v>#</v>
      </c>
      <c r="W36" s="25">
        <f>IF(AND(COLUMN()-11&gt;=$F36,COLUMN()-11&lt;=$G36),"#","")</f>
        <v/>
      </c>
    </row>
    <row r="37" ht="38" customHeight="1">
      <c r="B37" s="6" t="inlineStr">
        <is>
          <t>T31</t>
        </is>
      </c>
      <c r="C37" s="6" t="inlineStr">
        <is>
          <t>WS9 GTM</t>
        </is>
      </c>
      <c r="D37" s="6" t="inlineStr">
        <is>
          <t>Gate-0 one-pager (I/O, pricing, owner)</t>
        </is>
      </c>
      <c r="E37" s="6" t="inlineStr">
        <is>
          <t>Arch</t>
        </is>
      </c>
      <c r="F37" s="20" t="n">
        <v>11</v>
      </c>
      <c r="G37" s="20" t="n">
        <v>11</v>
      </c>
      <c r="H37" s="6" t="inlineStr">
        <is>
          <t>-</t>
        </is>
      </c>
      <c r="I37" s="6" t="inlineStr">
        <is>
          <t>Signed charter</t>
        </is>
      </c>
      <c r="J37" s="21" t="inlineStr">
        <is>
          <t>Not Started</t>
        </is>
      </c>
      <c r="K37" s="11" t="n">
        <v>0</v>
      </c>
      <c r="L37" s="22">
        <f>IF(AND(COLUMN()-11&gt;=$F37,COLUMN()-11&lt;=$G37),"#","")</f>
        <v/>
      </c>
      <c r="M37" s="22">
        <f>IF(AND(COLUMN()-11&gt;=$F37,COLUMN()-11&lt;=$G37),"#","")</f>
        <v/>
      </c>
      <c r="N37" s="22">
        <f>IF(AND(COLUMN()-11&gt;=$F37,COLUMN()-11&lt;=$G37),"#","")</f>
        <v/>
      </c>
      <c r="O37" s="22">
        <f>IF(AND(COLUMN()-11&gt;=$F37,COLUMN()-11&lt;=$G37),"#","")</f>
        <v/>
      </c>
      <c r="P37" s="22">
        <f>IF(AND(COLUMN()-11&gt;=$F37,COLUMN()-11&lt;=$G37),"#","")</f>
        <v/>
      </c>
      <c r="Q37" s="22">
        <f>IF(AND(COLUMN()-11&gt;=$F37,COLUMN()-11&lt;=$G37),"#","")</f>
        <v/>
      </c>
      <c r="R37" s="22">
        <f>IF(AND(COLUMN()-11&gt;=$F37,COLUMN()-11&lt;=$G37),"#","")</f>
        <v/>
      </c>
      <c r="S37" s="22">
        <f>IF(AND(COLUMN()-11&gt;=$F37,COLUMN()-11&lt;=$G37),"#","")</f>
        <v/>
      </c>
      <c r="T37" s="22">
        <f>IF(AND(COLUMN()-11&gt;=$F37,COLUMN()-11&lt;=$G37),"#","")</f>
        <v/>
      </c>
      <c r="U37" s="22">
        <f>IF(AND(COLUMN()-11&gt;=$F37,COLUMN()-11&lt;=$G37),"#","")</f>
        <v/>
      </c>
      <c r="V37" s="22" t="str">
        <f>IF(AND(COLUMN()-11&gt;=$F37,COLUMN()-11&lt;=$G37),"#","")</f>
        <v>#</v>
      </c>
      <c r="W37" s="22">
        <f>IF(AND(COLUMN()-11&gt;=$F37,COLUMN()-11&lt;=$G37),"#","")</f>
        <v/>
      </c>
    </row>
    <row r="38" ht="38" customHeight="1">
      <c r="B38" s="7" t="inlineStr">
        <is>
          <t>T32</t>
        </is>
      </c>
      <c r="C38" s="7" t="inlineStr">
        <is>
          <t>WS8 PoC</t>
        </is>
      </c>
      <c r="D38" s="7" t="inlineStr">
        <is>
          <t>Lighthouse CSP beta setup (copilot target, 50-70% price)</t>
        </is>
      </c>
      <c r="E38" s="7" t="inlineStr">
        <is>
          <t>EL</t>
        </is>
      </c>
      <c r="F38" s="23" t="n">
        <v>12</v>
      </c>
      <c r="G38" s="23" t="n">
        <v>12</v>
      </c>
      <c r="H38" s="7" t="inlineStr">
        <is>
          <t>T26-T31</t>
        </is>
      </c>
      <c r="I38" s="7" t="inlineStr">
        <is>
          <t>Signed beta SOW</t>
        </is>
      </c>
      <c r="J38" s="24" t="inlineStr">
        <is>
          <t>Not Started</t>
        </is>
      </c>
      <c r="K38" s="14" t="n">
        <v>0</v>
      </c>
      <c r="L38" s="25">
        <f>IF(AND(COLUMN()-11&gt;=$F38,COLUMN()-11&lt;=$G38),"#","")</f>
        <v/>
      </c>
      <c r="M38" s="25">
        <f>IF(AND(COLUMN()-11&gt;=$F38,COLUMN()-11&lt;=$G38),"#","")</f>
        <v/>
      </c>
      <c r="N38" s="25">
        <f>IF(AND(COLUMN()-11&gt;=$F38,COLUMN()-11&lt;=$G38),"#","")</f>
        <v/>
      </c>
      <c r="O38" s="25">
        <f>IF(AND(COLUMN()-11&gt;=$F38,COLUMN()-11&lt;=$G38),"#","")</f>
        <v/>
      </c>
      <c r="P38" s="25">
        <f>IF(AND(COLUMN()-11&gt;=$F38,COLUMN()-11&lt;=$G38),"#","")</f>
        <v/>
      </c>
      <c r="Q38" s="25">
        <f>IF(AND(COLUMN()-11&gt;=$F38,COLUMN()-11&lt;=$G38),"#","")</f>
        <v/>
      </c>
      <c r="R38" s="25">
        <f>IF(AND(COLUMN()-11&gt;=$F38,COLUMN()-11&lt;=$G38),"#","")</f>
        <v/>
      </c>
      <c r="S38" s="25">
        <f>IF(AND(COLUMN()-11&gt;=$F38,COLUMN()-11&lt;=$G38),"#","")</f>
        <v/>
      </c>
      <c r="T38" s="25">
        <f>IF(AND(COLUMN()-11&gt;=$F38,COLUMN()-11&lt;=$G38),"#","")</f>
        <v/>
      </c>
      <c r="U38" s="25">
        <f>IF(AND(COLUMN()-11&gt;=$F38,COLUMN()-11&lt;=$G38),"#","")</f>
        <v/>
      </c>
      <c r="V38" s="25">
        <f>IF(AND(COLUMN()-11&gt;=$F38,COLUMN()-11&lt;=$G38),"#","")</f>
        <v/>
      </c>
      <c r="W38" s="25" t="str">
        <f>IF(AND(COLUMN()-11&gt;=$F38,COLUMN()-11&lt;=$G38),"#","")</f>
        <v>#</v>
      </c>
    </row>
    <row r="39" ht="22" customHeight="1">
      <c r="B39" s="6" t="inlineStr">
        <is>
          <t>T33</t>
        </is>
      </c>
      <c r="C39" s="6" t="inlineStr">
        <is>
          <t>WS8 PoC</t>
        </is>
      </c>
      <c r="D39" s="6" t="inlineStr">
        <is>
          <t>Beta campaign kickoff</t>
        </is>
      </c>
      <c r="E39" s="6" t="inlineStr">
        <is>
          <t>EL</t>
        </is>
      </c>
      <c r="F39" s="20" t="n">
        <v>12</v>
      </c>
      <c r="G39" s="20" t="n">
        <v>12</v>
      </c>
      <c r="H39" s="6" t="inlineStr">
        <is>
          <t>T32</t>
        </is>
      </c>
      <c r="I39" s="6" t="inlineStr">
        <is>
          <t>Beta run started</t>
        </is>
      </c>
      <c r="J39" s="21" t="inlineStr">
        <is>
          <t>Not Started</t>
        </is>
      </c>
      <c r="K39" s="11" t="n">
        <v>0</v>
      </c>
      <c r="L39" s="22">
        <f>IF(AND(COLUMN()-11&gt;=$F39,COLUMN()-11&lt;=$G39),"#","")</f>
        <v/>
      </c>
      <c r="M39" s="22">
        <f>IF(AND(COLUMN()-11&gt;=$F39,COLUMN()-11&lt;=$G39),"#","")</f>
        <v/>
      </c>
      <c r="N39" s="22">
        <f>IF(AND(COLUMN()-11&gt;=$F39,COLUMN()-11&lt;=$G39),"#","")</f>
        <v/>
      </c>
      <c r="O39" s="22">
        <f>IF(AND(COLUMN()-11&gt;=$F39,COLUMN()-11&lt;=$G39),"#","")</f>
        <v/>
      </c>
      <c r="P39" s="22">
        <f>IF(AND(COLUMN()-11&gt;=$F39,COLUMN()-11&lt;=$G39),"#","")</f>
        <v/>
      </c>
      <c r="Q39" s="22">
        <f>IF(AND(COLUMN()-11&gt;=$F39,COLUMN()-11&lt;=$G39),"#","")</f>
        <v/>
      </c>
      <c r="R39" s="22">
        <f>IF(AND(COLUMN()-11&gt;=$F39,COLUMN()-11&lt;=$G39),"#","")</f>
        <v/>
      </c>
      <c r="S39" s="22">
        <f>IF(AND(COLUMN()-11&gt;=$F39,COLUMN()-11&lt;=$G39),"#","")</f>
        <v/>
      </c>
      <c r="T39" s="22">
        <f>IF(AND(COLUMN()-11&gt;=$F39,COLUMN()-11&lt;=$G39),"#","")</f>
        <v/>
      </c>
      <c r="U39" s="22">
        <f>IF(AND(COLUMN()-11&gt;=$F39,COLUMN()-11&lt;=$G39),"#","")</f>
        <v/>
      </c>
      <c r="V39" s="22">
        <f>IF(AND(COLUMN()-11&gt;=$F39,COLUMN()-11&lt;=$G39),"#","")</f>
        <v/>
      </c>
      <c r="W39" s="22" t="str">
        <f>IF(AND(COLUMN()-11&gt;=$F39,COLUMN()-11&lt;=$G39),"#","")</f>
        <v>#</v>
      </c>
    </row>
    <row r="40" ht="38" customHeight="1">
      <c r="B40" s="7" t="inlineStr">
        <is>
          <t>T34</t>
        </is>
      </c>
      <c r="C40" s="7" t="inlineStr">
        <is>
          <t>WS9 GTM</t>
        </is>
      </c>
      <c r="D40" s="7" t="inlineStr">
        <is>
          <t>Reference + co-marketing agreement</t>
        </is>
      </c>
      <c r="E40" s="7" t="inlineStr">
        <is>
          <t>EL</t>
        </is>
      </c>
      <c r="F40" s="23" t="n">
        <v>12</v>
      </c>
      <c r="G40" s="23" t="n">
        <v>12</v>
      </c>
      <c r="H40" s="7" t="inlineStr">
        <is>
          <t>T33</t>
        </is>
      </c>
      <c r="I40" s="7" t="inlineStr">
        <is>
          <t>Reference committed</t>
        </is>
      </c>
      <c r="J40" s="24" t="inlineStr">
        <is>
          <t>Not Started</t>
        </is>
      </c>
      <c r="K40" s="14" t="n">
        <v>0</v>
      </c>
      <c r="L40" s="25">
        <f>IF(AND(COLUMN()-11&gt;=$F40,COLUMN()-11&lt;=$G40),"#","")</f>
        <v/>
      </c>
      <c r="M40" s="25">
        <f>IF(AND(COLUMN()-11&gt;=$F40,COLUMN()-11&lt;=$G40),"#","")</f>
        <v/>
      </c>
      <c r="N40" s="25">
        <f>IF(AND(COLUMN()-11&gt;=$F40,COLUMN()-11&lt;=$G40),"#","")</f>
        <v/>
      </c>
      <c r="O40" s="25">
        <f>IF(AND(COLUMN()-11&gt;=$F40,COLUMN()-11&lt;=$G40),"#","")</f>
        <v/>
      </c>
      <c r="P40" s="25">
        <f>IF(AND(COLUMN()-11&gt;=$F40,COLUMN()-11&lt;=$G40),"#","")</f>
        <v/>
      </c>
      <c r="Q40" s="25">
        <f>IF(AND(COLUMN()-11&gt;=$F40,COLUMN()-11&lt;=$G40),"#","")</f>
        <v/>
      </c>
      <c r="R40" s="25">
        <f>IF(AND(COLUMN()-11&gt;=$F40,COLUMN()-11&lt;=$G40),"#","")</f>
        <v/>
      </c>
      <c r="S40" s="25">
        <f>IF(AND(COLUMN()-11&gt;=$F40,COLUMN()-11&lt;=$G40),"#","")</f>
        <v/>
      </c>
      <c r="T40" s="25">
        <f>IF(AND(COLUMN()-11&gt;=$F40,COLUMN()-11&lt;=$G40),"#","")</f>
        <v/>
      </c>
      <c r="U40" s="25">
        <f>IF(AND(COLUMN()-11&gt;=$F40,COLUMN()-11&lt;=$G40),"#","")</f>
        <v/>
      </c>
      <c r="V40" s="25">
        <f>IF(AND(COLUMN()-11&gt;=$F40,COLUMN()-11&lt;=$G40),"#","")</f>
        <v/>
      </c>
      <c r="W40" s="25" t="str">
        <f>IF(AND(COLUMN()-11&gt;=$F40,COLUMN()-11&lt;=$G40),"#","")</f>
        <v>#</v>
      </c>
    </row>
    <row r="41" ht="38" customHeight="1">
      <c r="B41" s="6" t="inlineStr">
        <is>
          <t>T35</t>
        </is>
      </c>
      <c r="C41" s="6" t="inlineStr">
        <is>
          <t>WS9 GTM</t>
        </is>
      </c>
      <c r="D41" s="6" t="inlineStr">
        <is>
          <t>Pricing &amp; packaging sign-off (3 tiers)</t>
        </is>
      </c>
      <c r="E41" s="6" t="inlineStr">
        <is>
          <t>EL</t>
        </is>
      </c>
      <c r="F41" s="20" t="n">
        <v>12</v>
      </c>
      <c r="G41" s="20" t="n">
        <v>12</v>
      </c>
      <c r="H41" s="6" t="inlineStr">
        <is>
          <t>T31</t>
        </is>
      </c>
      <c r="I41" s="6" t="inlineStr">
        <is>
          <t>Rate card</t>
        </is>
      </c>
      <c r="J41" s="21" t="inlineStr">
        <is>
          <t>Not Started</t>
        </is>
      </c>
      <c r="K41" s="11" t="n">
        <v>0</v>
      </c>
      <c r="L41" s="22">
        <f>IF(AND(COLUMN()-11&gt;=$F41,COLUMN()-11&lt;=$G41),"#","")</f>
        <v/>
      </c>
      <c r="M41" s="22">
        <f>IF(AND(COLUMN()-11&gt;=$F41,COLUMN()-11&lt;=$G41),"#","")</f>
        <v/>
      </c>
      <c r="N41" s="22">
        <f>IF(AND(COLUMN()-11&gt;=$F41,COLUMN()-11&lt;=$G41),"#","")</f>
        <v/>
      </c>
      <c r="O41" s="22">
        <f>IF(AND(COLUMN()-11&gt;=$F41,COLUMN()-11&lt;=$G41),"#","")</f>
        <v/>
      </c>
      <c r="P41" s="22">
        <f>IF(AND(COLUMN()-11&gt;=$F41,COLUMN()-11&lt;=$G41),"#","")</f>
        <v/>
      </c>
      <c r="Q41" s="22">
        <f>IF(AND(COLUMN()-11&gt;=$F41,COLUMN()-11&lt;=$G41),"#","")</f>
        <v/>
      </c>
      <c r="R41" s="22">
        <f>IF(AND(COLUMN()-11&gt;=$F41,COLUMN()-11&lt;=$G41),"#","")</f>
        <v/>
      </c>
      <c r="S41" s="22">
        <f>IF(AND(COLUMN()-11&gt;=$F41,COLUMN()-11&lt;=$G41),"#","")</f>
        <v/>
      </c>
      <c r="T41" s="22">
        <f>IF(AND(COLUMN()-11&gt;=$F41,COLUMN()-11&lt;=$G41),"#","")</f>
        <v/>
      </c>
      <c r="U41" s="22">
        <f>IF(AND(COLUMN()-11&gt;=$F41,COLUMN()-11&lt;=$G41),"#","")</f>
        <v/>
      </c>
      <c r="V41" s="22">
        <f>IF(AND(COLUMN()-11&gt;=$F41,COLUMN()-11&lt;=$G41),"#","")</f>
        <v/>
      </c>
      <c r="W41" s="22" t="str">
        <f>IF(AND(COLUMN()-11&gt;=$F41,COLUMN()-11&lt;=$G41),"#","")</f>
        <v>#</v>
      </c>
    </row>
    <row r="42" ht="38" customHeight="1">
      <c r="B42" s="7" t="inlineStr">
        <is>
          <t>T36</t>
        </is>
      </c>
      <c r="C42" s="7" t="inlineStr">
        <is>
          <t>WS9 GTM</t>
        </is>
      </c>
      <c r="D42" s="7" t="inlineStr">
        <is>
          <t>Certify 3 delivery pods + training</t>
        </is>
      </c>
      <c r="E42" s="7" t="inlineStr">
        <is>
          <t>Arch</t>
        </is>
      </c>
      <c r="F42" s="23" t="n">
        <v>12</v>
      </c>
      <c r="G42" s="23" t="n">
        <v>12</v>
      </c>
      <c r="H42" s="7" t="inlineStr">
        <is>
          <t>T29</t>
        </is>
      </c>
      <c r="I42" s="7" t="inlineStr">
        <is>
          <t>3 certified pods</t>
        </is>
      </c>
      <c r="J42" s="24" t="inlineStr">
        <is>
          <t>Not Started</t>
        </is>
      </c>
      <c r="K42" s="14" t="n">
        <v>0</v>
      </c>
      <c r="L42" s="25">
        <f>IF(AND(COLUMN()-11&gt;=$F42,COLUMN()-11&lt;=$G42),"#","")</f>
        <v/>
      </c>
      <c r="M42" s="25">
        <f>IF(AND(COLUMN()-11&gt;=$F42,COLUMN()-11&lt;=$G42),"#","")</f>
        <v/>
      </c>
      <c r="N42" s="25">
        <f>IF(AND(COLUMN()-11&gt;=$F42,COLUMN()-11&lt;=$G42),"#","")</f>
        <v/>
      </c>
      <c r="O42" s="25">
        <f>IF(AND(COLUMN()-11&gt;=$F42,COLUMN()-11&lt;=$G42),"#","")</f>
        <v/>
      </c>
      <c r="P42" s="25">
        <f>IF(AND(COLUMN()-11&gt;=$F42,COLUMN()-11&lt;=$G42),"#","")</f>
        <v/>
      </c>
      <c r="Q42" s="25">
        <f>IF(AND(COLUMN()-11&gt;=$F42,COLUMN()-11&lt;=$G42),"#","")</f>
        <v/>
      </c>
      <c r="R42" s="25">
        <f>IF(AND(COLUMN()-11&gt;=$F42,COLUMN()-11&lt;=$G42),"#","")</f>
        <v/>
      </c>
      <c r="S42" s="25">
        <f>IF(AND(COLUMN()-11&gt;=$F42,COLUMN()-11&lt;=$G42),"#","")</f>
        <v/>
      </c>
      <c r="T42" s="25">
        <f>IF(AND(COLUMN()-11&gt;=$F42,COLUMN()-11&lt;=$G42),"#","")</f>
        <v/>
      </c>
      <c r="U42" s="25">
        <f>IF(AND(COLUMN()-11&gt;=$F42,COLUMN()-11&lt;=$G42),"#","")</f>
        <v/>
      </c>
      <c r="V42" s="25">
        <f>IF(AND(COLUMN()-11&gt;=$F42,COLUMN()-11&lt;=$G42),"#","")</f>
        <v/>
      </c>
      <c r="W42" s="25" t="str">
        <f>IF(AND(COLUMN()-11&gt;=$F42,COLUMN()-11&lt;=$G42),"#","")</f>
        <v>#</v>
      </c>
    </row>
    <row r="44">
      <c r="B44" s="2" t="inlineStr">
        <is>
          <t>Owners: Arch=AI Security Architect, ASE1/ASE2=AI Security Engineers, PE=Prompt Engineer, AE=Agentic Engineer, RT=Red Teamer, EL=Engagement Lead.</t>
        </is>
      </c>
    </row>
    <row r="45">
      <c r="B45" s="2" t="inlineStr">
        <is>
          <t>Go/no-go: internal PoC (T25-T27) must find real vulns with FP &lt;=10% before any client run; ROAI legal template (T29) blocks beta without signature.</t>
        </is>
      </c>
    </row>
    <row r="46">
      <c r="B46" s="2" t="inlineStr">
        <is>
          <t>v1.1: T23 split into T23a/b/c (Console foundation &gt; live &gt; HUD layer). Exec Milestones sheet carries demo execution sequencing; CI-gate rides Sentinel view.</t>
        </is>
      </c>
    </row>
  </sheetData>
  <mergeCells count="1">
    <mergeCell ref="B2:W2"/>
  </mergeCells>
  <conditionalFormatting sqref="J5:J42">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0">
      <formula>"PASS"</formula>
    </cfRule>
    <cfRule type="cellIs" priority="5" operator="equal" dxfId="2">
      <formula>"FAIL"</formula>
    </cfRule>
    <cfRule type="cellIs" priority="6" operator="equal" dxfId="0">
      <formula>"On Target"</formula>
    </cfRule>
    <cfRule type="cellIs" priority="7" operator="equal" dxfId="1">
      <formula>"At Risk"</formula>
    </cfRule>
    <cfRule type="cellIs" priority="8" operator="equal" dxfId="2">
      <formula>"Off Target"</formula>
    </cfRule>
  </conditionalFormatting>
  <dataValidations count="2">
    <dataValidation sqref="J5:J42" showDropDown="0" showInputMessage="0" showErrorMessage="1" allowBlank="0" errorTitle="Invalid status" error="Pick a status" type="list">
      <formula1>"Not Started,In Progress,Done,Blocked"</formula1>
    </dataValidation>
    <dataValidation sqref="K5:K42" showDropDown="0" showInputMessage="0" showErrorMessage="1" allowBlank="0" errorTitle="Invalid %" error="0-100" type="whole" operator="between">
      <formula1>0</formula1>
      <formula2>100</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50" customWidth="1" min="3" max="3"/>
    <col width="14" customWidth="1" min="4" max="4"/>
    <col width="50" customWidth="1" min="5" max="5"/>
    <col width="8" customWidth="1" min="6" max="6"/>
    <col width="8" customWidth="1" min="7" max="7"/>
    <col width="8" customWidth="1" min="8" max="8"/>
  </cols>
  <sheetData>
    <row r="1" ht="15" customHeight="1"/>
    <row r="2" ht="32" customHeight="1">
      <c r="B2" s="1" t="inlineStr">
        <is>
          <t>Execution Milestones — Demo Plan M0-M6c (v1.1)</t>
        </is>
      </c>
    </row>
    <row r="3" ht="8" customHeight="1"/>
    <row r="4" ht="24" customHeight="1">
      <c r="B4" s="3" t="inlineStr">
        <is>
          <t>Demo execution sequencing — supersedes Build Plan ordering for the Tier-1 demo (D1)</t>
        </is>
      </c>
    </row>
    <row r="5" ht="38" customHeight="1">
      <c r="B5" s="5" t="inlineStr">
        <is>
          <t>M#</t>
        </is>
      </c>
      <c r="C5" s="5" t="inlineStr">
        <is>
          <t>Scope</t>
        </is>
      </c>
      <c r="D5" s="5" t="inlineStr">
        <is>
          <t>Blueprint Tasks</t>
        </is>
      </c>
      <c r="E5" s="5" t="inlineStr">
        <is>
          <t>Acceptance Gate</t>
        </is>
      </c>
      <c r="F5" s="5" t="inlineStr">
        <is>
          <t>Status</t>
        </is>
      </c>
      <c r="G5" s="5" t="inlineStr">
        <is>
          <t>% Done</t>
        </is>
      </c>
    </row>
    <row r="6" ht="38" customHeight="1">
      <c r="B6" s="6" t="inlineStr">
        <is>
          <t>M0</t>
        </is>
      </c>
      <c r="C6" s="6" t="inlineStr">
        <is>
          <t>Foundation: finding/transcript schema, technique catalog v1 as data, skeleton</t>
        </is>
      </c>
      <c r="D6" s="6" t="inlineStr">
        <is>
          <t>T01-T02</t>
        </is>
      </c>
      <c r="E6" s="6" t="inlineStr">
        <is>
          <t>40 techniques load, IDs unique</t>
        </is>
      </c>
      <c r="F6" s="21" t="inlineStr">
        <is>
          <t>Done</t>
        </is>
      </c>
      <c r="G6" s="26" t="n">
        <v>100</v>
      </c>
    </row>
    <row r="7" ht="54" customHeight="1">
      <c r="B7" s="7" t="inlineStr">
        <is>
          <t>M1</t>
        </is>
      </c>
      <c r="C7" s="7" t="inlineStr">
        <is>
          <t>Target plane: mcp-target-adapter + mock vulnerable demo target (seeded flaws per pack) + canary framework w/ local webhook detector</t>
        </is>
      </c>
      <c r="D7" s="7" t="inlineStr">
        <is>
          <t>T05, T07</t>
        </is>
      </c>
      <c r="E7" s="7" t="inlineStr">
        <is>
          <t>&gt;=1 flaw per pack; canary hit detected</t>
        </is>
      </c>
      <c r="F7" s="24" t="inlineStr">
        <is>
          <t>Done</t>
        </is>
      </c>
      <c r="G7" s="27" t="n">
        <v>100</v>
      </c>
    </row>
    <row r="8" ht="54" customHeight="1">
      <c r="B8" s="6" t="inlineStr">
        <is>
          <t>M2</t>
        </is>
      </c>
      <c r="C8" s="6" t="inlineStr">
        <is>
          <t>Judging &amp; scoring: dual-mode judge (rules + LLM stub) + scoring engine (real Rego via OPA binary; Python fallback)</t>
        </is>
      </c>
      <c r="D8" s="6" t="inlineStr">
        <is>
          <t>T03-T04</t>
        </is>
      </c>
      <c r="E8" s="6" t="inlineStr">
        <is>
          <t>Scorecard reproduces workbook math exactly</t>
        </is>
      </c>
      <c r="F8" s="21" t="inlineStr">
        <is>
          <t>Done</t>
        </is>
      </c>
      <c r="G8" s="26" t="n">
        <v>100</v>
      </c>
    </row>
    <row r="9" ht="54" customHeight="1">
      <c r="B9" s="7" t="inlineStr">
        <is>
          <t>M3</t>
        </is>
      </c>
      <c r="C9" s="7" t="inlineStr">
        <is>
          <t>MCP live: 6 P0 servers built &amp; registered in ZCode (target-adapter, pyrit-thin, judge, canary, opa/scorer, evidence)</t>
        </is>
      </c>
      <c r="D9" s="7" t="inlineStr">
        <is>
          <t>MCP sheet P0</t>
        </is>
      </c>
      <c r="E9" s="7" t="inlineStr">
        <is>
          <t>mcp__redforge__* tools callable in-session</t>
        </is>
      </c>
      <c r="F9" s="24" t="inlineStr">
        <is>
          <t>Done</t>
        </is>
      </c>
      <c r="G9" s="27" t="n">
        <v>100</v>
      </c>
    </row>
    <row r="10" ht="38" customHeight="1">
      <c r="B10" s="6" t="inlineStr">
        <is>
          <t>M4</t>
        </is>
      </c>
      <c r="C10" s="6" t="inlineStr">
        <is>
          <t>Swarm: 14-node DAG runner, bounded 3-round mutation, budget caps, Gatekeeper interrupts</t>
        </is>
      </c>
      <c r="D10" s="6" t="inlineStr">
        <is>
          <t>T13-T19</t>
        </is>
      </c>
      <c r="E10" s="6" t="inlineStr">
        <is>
          <t>Epoch runs acyclic; caps enforced; gates fire</t>
        </is>
      </c>
      <c r="F10" s="21" t="inlineStr">
        <is>
          <t>Done</t>
        </is>
      </c>
      <c r="G10" s="26" t="n">
        <v>100</v>
      </c>
    </row>
    <row r="11" ht="54" customHeight="1">
      <c r="B11" s="7" t="inlineStr">
        <is>
          <t>M5</t>
        </is>
      </c>
      <c r="C11" s="7" t="inlineStr">
        <is>
          <t>Evidence &amp; reporting: evidence store, findings register, Verifier FP-kill, Scribe citation lint, compliance mapping, report export</t>
        </is>
      </c>
      <c r="D11" s="7" t="inlineStr">
        <is>
          <t>T20-T22</t>
        </is>
      </c>
      <c r="E11" s="7" t="inlineStr">
        <is>
          <t>Every report claim cites finding_id</t>
        </is>
      </c>
      <c r="F11" s="24" t="inlineStr">
        <is>
          <t>Done</t>
        </is>
      </c>
      <c r="G11" s="27" t="n">
        <v>100</v>
      </c>
    </row>
    <row r="12" ht="54" customHeight="1">
      <c r="B12" s="6" t="inlineStr">
        <is>
          <t>M6a</t>
        </is>
      </c>
      <c r="C12" s="6" t="inlineStr">
        <is>
          <t>Console foundation: app shell, design tokens, routing, all 10 screens with fixture data (Ops Mode)</t>
        </is>
      </c>
      <c r="D12" s="6" t="inlineStr">
        <is>
          <t>T23a</t>
        </is>
      </c>
      <c r="E12" s="6" t="inlineStr">
        <is>
          <t>All 10 screens render with fixture data</t>
        </is>
      </c>
      <c r="F12" s="21" t="inlineStr">
        <is>
          <t>Done</t>
        </is>
      </c>
      <c r="G12" s="26" t="n">
        <v>100</v>
      </c>
    </row>
    <row r="13" ht="54" customHeight="1">
      <c r="B13" s="7" t="inlineStr">
        <is>
          <t>M6b</t>
        </is>
      </c>
      <c r="C13" s="7" t="inlineStr">
        <is>
          <t>Mission Control live: SSE event bus, live DAG, streaming transcripts, gate inbox + Findings/Scorecard/Dossier views</t>
        </is>
      </c>
      <c r="D13" s="7" t="inlineStr">
        <is>
          <t>T23b</t>
        </is>
      </c>
      <c r="E13" s="7" t="inlineStr">
        <is>
          <t>Live campaign drives the UI end-to-end</t>
        </is>
      </c>
      <c r="F13" s="24" t="inlineStr">
        <is>
          <t>Done</t>
        </is>
      </c>
      <c r="G13" s="27" t="n">
        <v>100</v>
      </c>
    </row>
    <row r="14" ht="70" customHeight="1">
      <c r="B14" s="6" t="inlineStr">
        <is>
          <t>M6b+</t>
        </is>
      </c>
      <c r="C14" s="6" t="inlineStr">
        <is>
          <t>HUD/JARVIS layer: 3D constellation, voice I/O (Web Speech), Copilot command core, briefing engine, materialization motion, replay scrubber</t>
        </is>
      </c>
      <c r="D14" s="6" t="inlineStr">
        <is>
          <t>T23c</t>
        </is>
      </c>
      <c r="E14" s="6" t="inlineStr">
        <is>
          <t>Cinematic demo runs in HUD Mode; Ops Mode still AA; 60fps budget held</t>
        </is>
      </c>
      <c r="F14" s="21" t="inlineStr">
        <is>
          <t>Done</t>
        </is>
      </c>
      <c r="G14" s="26" t="n">
        <v>100</v>
      </c>
    </row>
    <row r="15" ht="38" customHeight="1">
      <c r="B15" s="7" t="inlineStr">
        <is>
          <t>M6c</t>
        </is>
      </c>
      <c r="C15" s="7" t="inlineStr">
        <is>
          <t>E2E demo: full A0-A5 campaign vs demo target through Console + MCP; FP &lt;=10% on fixture</t>
        </is>
      </c>
      <c r="D15" s="7" t="inlineStr">
        <is>
          <t>T25-T28</t>
        </is>
      </c>
      <c r="E15" s="7" t="inlineStr">
        <is>
          <t>Campaign completes; scorecard + dossier generated</t>
        </is>
      </c>
      <c r="F15" s="24" t="inlineStr">
        <is>
          <t>Done</t>
        </is>
      </c>
      <c r="G15" s="27" t="n">
        <v>100</v>
      </c>
    </row>
    <row r="16" ht="166" customHeight="1">
      <c r="B16" s="6" t="inlineStr">
        <is>
          <t>M7</t>
        </is>
      </c>
      <c r="C16" s="6" t="inlineStr">
        <is>
          <t>World View (D8): full-screen 3D world — GLSL core orb + sunburst dial, living 9-node constellation w/ G1/G2 diamond gates (event physics via world-bus), diegetic instruments (reactor/radar/audio/diagnostics/terminal/objective banner), voice captions + command echo, camera fly-to + node/gate holograms w/ signature bridge, replay timeline, violet/navy themes, offline demo loop; SSE delivery bugs Q-11/Q-12 fixed w/ regression test</t>
        </is>
      </c>
      <c r="D16" s="6" t="inlineStr">
        <is>
          <t>D8 build</t>
        </is>
      </c>
      <c r="E16" s="6" t="inlineStr">
        <is>
          <t>E2E world leg: campaign driven from /world; holograms + theme verified; ≥95% suite pass</t>
        </is>
      </c>
      <c r="F16" s="21" t="inlineStr">
        <is>
          <t>Done</t>
        </is>
      </c>
      <c r="G16" s="26" t="n">
        <v>100</v>
      </c>
    </row>
    <row r="17" ht="150" customHeight="1">
      <c r="B17" s="7" t="inlineStr">
        <is>
          <t>M8</t>
        </is>
      </c>
      <c r="C17" s="7" t="inlineStr">
        <is>
          <t>Boot ritual + living sky (D9): OrchestratorHead (12k GPU particles, featureless silhouette, speech pulse, neck streamers), ReadinessPrompt (voice + YES), staggered constellation bloom + instrument reveal, SkyTraffic (rockets 2min / meteoroids 1min, pooled), handoff blink-lines + packet streams (once per handoff); boot routing (?boot=skip, sessionStorage fast-path, join-running); E2E boot leg</t>
        </is>
      </c>
      <c r="D17" s="7" t="inlineStr">
        <is>
          <t>D9 build</t>
        </is>
      </c>
      <c r="E17" s="7" t="inlineStr">
        <is>
          <t>E2E: head assembles, YES clicked, 11 planets bloom, instruments live; ≥95% suite pass</t>
        </is>
      </c>
      <c r="F17" s="24" t="inlineStr">
        <is>
          <t>Done</t>
        </is>
      </c>
      <c r="G17" s="27" t="n">
        <v>100</v>
      </c>
    </row>
    <row r="19">
      <c r="B19" s="2" t="inlineStr">
        <is>
          <t>Gates are hard: a milestone is Done only when its gate passes. HUD (M6b+) never blocks functional milestones — the cinematic layer is additive (D7).</t>
        </is>
      </c>
    </row>
    <row r="20">
      <c r="B20" s="2" t="inlineStr">
        <is>
          <t>M0-M5 run engine-first; M6a-M6c build the Console; M3 makes the campaign drivable from ZCode via MCP tools.</t>
        </is>
      </c>
    </row>
  </sheetData>
  <mergeCells count="1">
    <mergeCell ref="B2:H2"/>
  </mergeCells>
  <conditionalFormatting sqref="F6:F17">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0">
      <formula>"PASS"</formula>
    </cfRule>
    <cfRule type="cellIs" priority="5" operator="equal" dxfId="2">
      <formula>"FAIL"</formula>
    </cfRule>
    <cfRule type="cellIs" priority="6" operator="equal" dxfId="0">
      <formula>"On Target"</formula>
    </cfRule>
    <cfRule type="cellIs" priority="7" operator="equal" dxfId="1">
      <formula>"At Risk"</formula>
    </cfRule>
    <cfRule type="cellIs" priority="8" operator="equal" dxfId="2">
      <formula>"Off Target"</formula>
    </cfRule>
  </conditionalFormatting>
  <dataValidations count="2">
    <dataValidation sqref="F6:F17" showDropDown="0" showInputMessage="0" showErrorMessage="1" allowBlank="0" errorTitle="Invalid status" error="Pick a status" type="list">
      <formula1>"Not Started,In Progress,Done,Blocked"</formula1>
    </dataValidation>
    <dataValidation sqref="G6:G17" showDropDown="0" showInputMessage="0" showErrorMessage="1" allowBlank="0" errorTitle="Invalid %" error="0-100" type="whole" operator="between">
      <formula1>0</formula1>
      <formula2>100</formula2>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34" customWidth="1" min="3" max="3"/>
    <col width="44" customWidth="1" min="4" max="4"/>
    <col width="8" customWidth="1" min="5" max="5"/>
    <col width="8" customWidth="1" min="6" max="6"/>
    <col width="8" customWidth="1" min="7" max="7"/>
    <col width="44" customWidth="1" min="8" max="8"/>
    <col width="8" customWidth="1" min="9" max="9"/>
    <col width="17" customWidth="1" min="10" max="10"/>
  </cols>
  <sheetData>
    <row r="1" ht="15" customHeight="1"/>
    <row r="2" ht="32" customHeight="1">
      <c r="B2" s="1" t="inlineStr">
        <is>
          <t>KPI Tracker — Direction-Aware (enter Actuals in blue)</t>
        </is>
      </c>
    </row>
    <row r="3" ht="8" customHeight="1"/>
    <row r="4" ht="38" customHeight="1">
      <c r="B4" s="5" t="inlineStr">
        <is>
          <t>Family</t>
        </is>
      </c>
      <c r="C4" s="5" t="inlineStr">
        <is>
          <t>KPI</t>
        </is>
      </c>
      <c r="D4" s="5" t="inlineStr">
        <is>
          <t>Definition / Formula</t>
        </is>
      </c>
      <c r="E4" s="5" t="inlineStr">
        <is>
          <t>Direction</t>
        </is>
      </c>
      <c r="F4" s="5" t="inlineStr">
        <is>
          <t>Target</t>
        </is>
      </c>
      <c r="G4" s="5" t="inlineStr">
        <is>
          <t>Actual</t>
        </is>
      </c>
      <c r="H4" s="5" t="inlineStr">
        <is>
          <t>Status</t>
        </is>
      </c>
      <c r="I4" s="5" t="inlineStr">
        <is>
          <t>Owner</t>
        </is>
      </c>
      <c r="J4" s="5" t="inlineStr">
        <is>
          <t>Frequency</t>
        </is>
      </c>
    </row>
    <row r="5" ht="70" customHeight="1">
      <c r="B5" s="6" t="inlineStr">
        <is>
          <t>Delivery</t>
        </is>
      </c>
      <c r="C5" s="6" t="inlineStr">
        <is>
          <t>Time-to-first-finding</t>
        </is>
      </c>
      <c r="D5" s="6" t="inlineStr">
        <is>
          <t>hours from A1 exit to first confirmed finding</t>
        </is>
      </c>
      <c r="E5" s="6" t="inlineStr">
        <is>
          <t>Lower</t>
        </is>
      </c>
      <c r="F5" s="20" t="n">
        <v>72</v>
      </c>
      <c r="G5" s="11" t="inlineStr"/>
      <c r="H5" s="6">
        <f>IF(G5="","-",IF($E5="Higher",IF(G5&gt;=$F5,"On Target",IF(G5&gt;=0.8*$F5,"At Risk","Off Target")),IF(G5&lt;=$F5,"On Target",IF(G5&lt;=1.2*$F5,"At Risk","Off Target"))))</f>
        <v/>
      </c>
      <c r="I5" s="6" t="inlineStr">
        <is>
          <t>EL</t>
        </is>
      </c>
      <c r="J5" s="6" t="inlineStr">
        <is>
          <t>per engagement</t>
        </is>
      </c>
    </row>
    <row r="6" ht="70" customHeight="1">
      <c r="B6" s="7" t="inlineStr">
        <is>
          <t>Delivery</t>
        </is>
      </c>
      <c r="C6" s="7" t="inlineStr">
        <is>
          <t>Technique-pack coverage</t>
        </is>
      </c>
      <c r="D6" s="7" t="inlineStr">
        <is>
          <t>packs executed / packs planned (%)</t>
        </is>
      </c>
      <c r="E6" s="7" t="inlineStr">
        <is>
          <t>Higher</t>
        </is>
      </c>
      <c r="F6" s="23" t="n">
        <v>90</v>
      </c>
      <c r="G6" s="14" t="inlineStr"/>
      <c r="H6" s="7">
        <f>IF(G6="","-",IF($E6="Higher",IF(G6&gt;=$F6,"On Target",IF(G6&gt;=0.8*$F6,"At Risk","Off Target")),IF(G6&lt;=$F6,"On Target",IF(G6&lt;=1.2*$F6,"At Risk","Off Target"))))</f>
        <v/>
      </c>
      <c r="I6" s="7" t="inlineStr">
        <is>
          <t>EL</t>
        </is>
      </c>
      <c r="J6" s="7" t="inlineStr">
        <is>
          <t>per engagement</t>
        </is>
      </c>
    </row>
    <row r="7" ht="70" customHeight="1">
      <c r="B7" s="6" t="inlineStr">
        <is>
          <t>Delivery</t>
        </is>
      </c>
      <c r="C7" s="6" t="inlineStr">
        <is>
          <t>Quick-win report SLA</t>
        </is>
      </c>
      <c r="D7" s="6" t="inlineStr">
        <is>
          <t>hours from kickoff to quick-win report</t>
        </is>
      </c>
      <c r="E7" s="6" t="inlineStr">
        <is>
          <t>Lower</t>
        </is>
      </c>
      <c r="F7" s="20" t="n">
        <v>72</v>
      </c>
      <c r="G7" s="11" t="inlineStr"/>
      <c r="H7" s="6">
        <f>IF(G7="","-",IF($E7="Higher",IF(G7&gt;=$F7,"On Target",IF(G7&gt;=0.8*$F7,"At Risk","Off Target")),IF(G7&lt;=$F7,"On Target",IF(G7&lt;=1.2*$F7,"At Risk","Off Target"))))</f>
        <v/>
      </c>
      <c r="I7" s="6" t="inlineStr">
        <is>
          <t>EL</t>
        </is>
      </c>
      <c r="J7" s="6" t="inlineStr">
        <is>
          <t>per engagement</t>
        </is>
      </c>
    </row>
    <row r="8" ht="70" customHeight="1">
      <c r="B8" s="7" t="inlineStr">
        <is>
          <t>Delivery</t>
        </is>
      </c>
      <c r="C8" s="7" t="inlineStr">
        <is>
          <t>Judge-verifier agreement</t>
        </is>
      </c>
      <c r="D8" s="7" t="inlineStr">
        <is>
          <t>verdicts confirmed unchanged / total (%)</t>
        </is>
      </c>
      <c r="E8" s="7" t="inlineStr">
        <is>
          <t>Higher</t>
        </is>
      </c>
      <c r="F8" s="23" t="n">
        <v>80</v>
      </c>
      <c r="G8" s="14" t="inlineStr"/>
      <c r="H8" s="7">
        <f>IF(G8="","-",IF($E8="Higher",IF(G8&gt;=$F8,"On Target",IF(G8&gt;=0.8*$F8,"At Risk","Off Target")),IF(G8&lt;=$F8,"On Target",IF(G8&lt;=1.2*$F8,"At Risk","Off Target"))))</f>
        <v/>
      </c>
      <c r="I8" s="7" t="inlineStr">
        <is>
          <t>ASE1</t>
        </is>
      </c>
      <c r="J8" s="7" t="inlineStr">
        <is>
          <t>per engagement</t>
        </is>
      </c>
    </row>
    <row r="9" ht="70" customHeight="1">
      <c r="B9" s="6" t="inlineStr">
        <is>
          <t>Client outcome</t>
        </is>
      </c>
      <c r="C9" s="6" t="inlineStr">
        <is>
          <t>Injection success reduction @90d</t>
        </is>
      </c>
      <c r="D9" s="6" t="inlineStr">
        <is>
          <t>critical PIN success post-fix vs baseline (%)</t>
        </is>
      </c>
      <c r="E9" s="6" t="inlineStr">
        <is>
          <t>Lower</t>
        </is>
      </c>
      <c r="F9" s="20" t="n">
        <v>5</v>
      </c>
      <c r="G9" s="11" t="inlineStr"/>
      <c r="H9" s="6">
        <f>IF(G9="","-",IF($E9="Higher",IF(G9&gt;=$F9,"On Target",IF(G9&gt;=0.8*$F9,"At Risk","Off Target")),IF(G9&lt;=$F9,"On Target",IF(G9&lt;=1.2*$F9,"At Risk","Off Target"))))</f>
        <v/>
      </c>
      <c r="I9" s="6" t="inlineStr">
        <is>
          <t>EL</t>
        </is>
      </c>
      <c r="J9" s="6" t="inlineStr">
        <is>
          <t>90-day post-fix</t>
        </is>
      </c>
    </row>
    <row r="10" ht="86" customHeight="1">
      <c r="B10" s="7" t="inlineStr">
        <is>
          <t>Client outcome</t>
        </is>
      </c>
      <c r="C10" s="7" t="inlineStr">
        <is>
          <t>Guardrail regression catch</t>
        </is>
      </c>
      <c r="D10" s="7" t="inlineStr">
        <is>
          <t>updates caught by Sentinel retest (%)</t>
        </is>
      </c>
      <c r="E10" s="7" t="inlineStr">
        <is>
          <t>Higher</t>
        </is>
      </c>
      <c r="F10" s="23" t="n">
        <v>100</v>
      </c>
      <c r="G10" s="14" t="inlineStr"/>
      <c r="H10" s="7">
        <f>IF(G10="","-",IF($E10="Higher",IF(G10&gt;=$F10,"On Target",IF(G10&gt;=0.8*$F10,"At Risk","Off Target")),IF(G10&lt;=$F10,"On Target",IF(G10&lt;=1.2*$F10,"At Risk","Off Target"))))</f>
        <v/>
      </c>
      <c r="I10" s="7" t="inlineStr">
        <is>
          <t>AE</t>
        </is>
      </c>
      <c r="J10" s="7" t="inlineStr">
        <is>
          <t>continuous</t>
        </is>
      </c>
    </row>
    <row r="11" ht="86" customHeight="1">
      <c r="B11" s="6" t="inlineStr">
        <is>
          <t>Client outcome</t>
        </is>
      </c>
      <c r="C11" s="6" t="inlineStr">
        <is>
          <t>Mean time-to-patch guardrail</t>
        </is>
      </c>
      <c r="D11" s="6" t="inlineStr">
        <is>
          <t>finding &gt; patched guardrail (hours)</t>
        </is>
      </c>
      <c r="E11" s="6" t="inlineStr">
        <is>
          <t>Lower</t>
        </is>
      </c>
      <c r="F11" s="20" t="n">
        <v>168</v>
      </c>
      <c r="G11" s="11" t="inlineStr"/>
      <c r="H11" s="6">
        <f>IF(G11="","-",IF($E11="Higher",IF(G11&gt;=$F11,"On Target",IF(G11&gt;=0.8*$F11,"At Risk","Off Target")),IF(G11&lt;=$F11,"On Target",IF(G11&lt;=1.2*$F11,"At Risk","Off Target"))))</f>
        <v/>
      </c>
      <c r="I11" s="6" t="inlineStr">
        <is>
          <t>EL</t>
        </is>
      </c>
      <c r="J11" s="6" t="inlineStr">
        <is>
          <t>per finding</t>
        </is>
      </c>
    </row>
    <row r="12" ht="86" customHeight="1">
      <c r="B12" s="7" t="inlineStr">
        <is>
          <t>Client outcome</t>
        </is>
      </c>
      <c r="C12" s="7" t="inlineStr">
        <is>
          <t>Regulatory evidence readiness</t>
        </is>
      </c>
      <c r="D12" s="7" t="inlineStr">
        <is>
          <t>findings with control mapping + evidence (%)</t>
        </is>
      </c>
      <c r="E12" s="7" t="inlineStr">
        <is>
          <t>Higher</t>
        </is>
      </c>
      <c r="F12" s="23" t="n">
        <v>100</v>
      </c>
      <c r="G12" s="14" t="inlineStr"/>
      <c r="H12" s="7">
        <f>IF(G12="","-",IF($E12="Higher",IF(G12&gt;=$F12,"On Target",IF(G12&gt;=0.8*$F12,"At Risk","Off Target")),IF(G12&lt;=$F12,"On Target",IF(G12&lt;=1.2*$F12,"At Risk","Off Target"))))</f>
        <v/>
      </c>
      <c r="I12" s="7" t="inlineStr">
        <is>
          <t>EL</t>
        </is>
      </c>
      <c r="J12" s="7" t="inlineStr">
        <is>
          <t>per engagement</t>
        </is>
      </c>
    </row>
    <row r="13" ht="86" customHeight="1">
      <c r="B13" s="6" t="inlineStr">
        <is>
          <t>Swarm ops</t>
        </is>
      </c>
      <c r="C13" s="6" t="inlineStr">
        <is>
          <t>Autonomy rate</t>
        </is>
      </c>
      <c r="D13" s="6" t="inlineStr">
        <is>
          <t>steps without human / total (%)</t>
        </is>
      </c>
      <c r="E13" s="6" t="inlineStr">
        <is>
          <t>Higher</t>
        </is>
      </c>
      <c r="F13" s="20" t="n">
        <v>90</v>
      </c>
      <c r="G13" s="11" t="inlineStr"/>
      <c r="H13" s="6">
        <f>IF(G13="","-",IF($E13="Higher",IF(G13&gt;=$F13,"On Target",IF(G13&gt;=0.8*$F13,"At Risk","Off Target")),IF(G13&lt;=$F13,"On Target",IF(G13&lt;=1.2*$F13,"At Risk","Off Target"))))</f>
        <v/>
      </c>
      <c r="I13" s="6" t="inlineStr">
        <is>
          <t>AE</t>
        </is>
      </c>
      <c r="J13" s="6" t="inlineStr">
        <is>
          <t>per engagement</t>
        </is>
      </c>
    </row>
    <row r="14" ht="86" customHeight="1">
      <c r="B14" s="7" t="inlineStr">
        <is>
          <t>Swarm ops</t>
        </is>
      </c>
      <c r="C14" s="7" t="inlineStr">
        <is>
          <t>Interventions per engagement</t>
        </is>
      </c>
      <c r="D14" s="7" t="inlineStr">
        <is>
          <t>human interventions (all at gates)</t>
        </is>
      </c>
      <c r="E14" s="7" t="inlineStr">
        <is>
          <t>Lower</t>
        </is>
      </c>
      <c r="F14" s="23" t="n">
        <v>5</v>
      </c>
      <c r="G14" s="14" t="inlineStr"/>
      <c r="H14" s="7">
        <f>IF(G14="","-",IF($E14="Higher",IF(G14&gt;=$F14,"On Target",IF(G14&gt;=0.8*$F14,"At Risk","Off Target")),IF(G14&lt;=$F14,"On Target",IF(G14&lt;=1.2*$F14,"At Risk","Off Target"))))</f>
        <v/>
      </c>
      <c r="I14" s="7" t="inlineStr">
        <is>
          <t>AE</t>
        </is>
      </c>
      <c r="J14" s="7" t="inlineStr">
        <is>
          <t>per engagement</t>
        </is>
      </c>
    </row>
    <row r="15" ht="86" customHeight="1">
      <c r="B15" s="6" t="inlineStr">
        <is>
          <t>Swarm ops</t>
        </is>
      </c>
      <c r="C15" s="6" t="inlineStr">
        <is>
          <t>False-positive rate</t>
        </is>
      </c>
      <c r="D15" s="6" t="inlineStr">
        <is>
          <t>verifier-voided / reported findings (%)</t>
        </is>
      </c>
      <c r="E15" s="6" t="inlineStr">
        <is>
          <t>Lower</t>
        </is>
      </c>
      <c r="F15" s="20" t="n">
        <v>10</v>
      </c>
      <c r="G15" s="11" t="inlineStr"/>
      <c r="H15" s="6">
        <f>IF(G15="","-",IF($E15="Higher",IF(G15&gt;=$F15,"On Target",IF(G15&gt;=0.8*$F15,"At Risk","Off Target")),IF(G15&lt;=$F15,"On Target",IF(G15&lt;=1.2*$F15,"At Risk","Off Target"))))</f>
        <v/>
      </c>
      <c r="I15" s="6" t="inlineStr">
        <is>
          <t>ASE1</t>
        </is>
      </c>
      <c r="J15" s="6" t="inlineStr">
        <is>
          <t>per engagement</t>
        </is>
      </c>
    </row>
    <row r="16" ht="86" customHeight="1">
      <c r="B16" s="7" t="inlineStr">
        <is>
          <t>Swarm ops</t>
        </is>
      </c>
      <c r="C16" s="7" t="inlineStr">
        <is>
          <t>Delivery cost ratio</t>
        </is>
      </c>
      <c r="D16" s="7" t="inlineStr">
        <is>
          <t>delivery cost / deal value (%)</t>
        </is>
      </c>
      <c r="E16" s="7" t="inlineStr">
        <is>
          <t>Lower</t>
        </is>
      </c>
      <c r="F16" s="23" t="n">
        <v>35</v>
      </c>
      <c r="G16" s="14" t="inlineStr"/>
      <c r="H16" s="7">
        <f>IF(G16="","-",IF($E16="Higher",IF(G16&gt;=$F16,"On Target",IF(G16&gt;=0.8*$F16,"At Risk","Off Target")),IF(G16&lt;=$F16,"On Target",IF(G16&lt;=1.2*$F16,"At Risk","Off Target"))))</f>
        <v/>
      </c>
      <c r="I16" s="7" t="inlineStr">
        <is>
          <t>EL</t>
        </is>
      </c>
      <c r="J16" s="7" t="inlineStr">
        <is>
          <t>per deal</t>
        </is>
      </c>
    </row>
    <row r="17" ht="86" customHeight="1">
      <c r="B17" s="6" t="inlineStr">
        <is>
          <t>Business</t>
        </is>
      </c>
      <c r="C17" s="6" t="inlineStr">
        <is>
          <t>Attach rate</t>
        </is>
      </c>
      <c r="D17" s="6" t="inlineStr">
        <is>
          <t>% GenAI app projects buying red-team (%)</t>
        </is>
      </c>
      <c r="E17" s="6" t="inlineStr">
        <is>
          <t>Higher</t>
        </is>
      </c>
      <c r="F17" s="20" t="n">
        <v>30</v>
      </c>
      <c r="G17" s="11" t="inlineStr"/>
      <c r="H17" s="6">
        <f>IF(G17="","-",IF($E17="Higher",IF(G17&gt;=$F17,"On Target",IF(G17&gt;=0.8*$F17,"At Risk","Off Target")),IF(G17&lt;=$F17,"On Target",IF(G17&lt;=1.2*$F17,"At Risk","Off Target"))))</f>
        <v/>
      </c>
      <c r="I17" s="6" t="inlineStr">
        <is>
          <t>EL</t>
        </is>
      </c>
      <c r="J17" s="6" t="inlineStr">
        <is>
          <t>quarterly</t>
        </is>
      </c>
    </row>
    <row r="18" ht="86" customHeight="1">
      <c r="B18" s="7" t="inlineStr">
        <is>
          <t>Business</t>
        </is>
      </c>
      <c r="C18" s="7" t="inlineStr">
        <is>
          <t>Assess &gt; Continuous conversion</t>
        </is>
      </c>
      <c r="D18" s="7" t="inlineStr">
        <is>
          <t>continuous / assessments (%)</t>
        </is>
      </c>
      <c r="E18" s="7" t="inlineStr">
        <is>
          <t>Higher</t>
        </is>
      </c>
      <c r="F18" s="23" t="n">
        <v>50</v>
      </c>
      <c r="G18" s="14" t="inlineStr"/>
      <c r="H18" s="7">
        <f>IF(G18="","-",IF($E18="Higher",IF(G18&gt;=$F18,"On Target",IF(G18&gt;=0.8*$F18,"At Risk","Off Target")),IF(G18&lt;=$F18,"On Target",IF(G18&lt;=1.2*$F18,"At Risk","Off Target"))))</f>
        <v/>
      </c>
      <c r="I18" s="7" t="inlineStr">
        <is>
          <t>EL</t>
        </is>
      </c>
      <c r="J18" s="7" t="inlineStr">
        <is>
          <t>quarterly</t>
        </is>
      </c>
    </row>
    <row r="20">
      <c r="B20" s="2" t="inlineStr">
        <is>
          <t>Direction-aware: Higher-is-better floors at 80% of target for At Risk; Lower-is-better ceilings at 120%. Blank actual shows '-'.</t>
        </is>
      </c>
    </row>
  </sheetData>
  <mergeCells count="1">
    <mergeCell ref="B2:J2"/>
  </mergeCells>
  <conditionalFormatting sqref="H5:H18">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0">
      <formula>"PASS"</formula>
    </cfRule>
    <cfRule type="cellIs" priority="5" operator="equal" dxfId="2">
      <formula>"FAIL"</formula>
    </cfRule>
    <cfRule type="cellIs" priority="6" operator="equal" dxfId="0">
      <formula>"On Target"</formula>
    </cfRule>
    <cfRule type="cellIs" priority="7" operator="equal" dxfId="1">
      <formula>"At Risk"</formula>
    </cfRule>
    <cfRule type="cellIs" priority="8" operator="equal" dxfId="2">
      <formula>"Off Target"</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44" customWidth="1" min="3" max="3"/>
    <col width="12" customWidth="1" min="4" max="4"/>
    <col width="8" customWidth="1" min="5" max="5"/>
    <col width="8" customWidth="1" min="6" max="6"/>
    <col width="10" customWidth="1" min="7" max="7"/>
    <col width="44" customWidth="1" min="8" max="8"/>
    <col width="8" customWidth="1" min="9" max="9"/>
    <col width="8" customWidth="1" min="10" max="10"/>
  </cols>
  <sheetData>
    <row r="1" ht="15" customHeight="1"/>
    <row r="2" ht="32" customHeight="1">
      <c r="B2" s="1" t="inlineStr">
        <is>
          <t>Risk Register — Live L x I Scoring (edit blue cells)</t>
        </is>
      </c>
    </row>
    <row r="3" ht="8" customHeight="1"/>
    <row r="4" ht="54" customHeight="1">
      <c r="B4" s="5" t="inlineStr">
        <is>
          <t>ID</t>
        </is>
      </c>
      <c r="C4" s="5" t="inlineStr">
        <is>
          <t>Risk</t>
        </is>
      </c>
      <c r="D4" s="5" t="inlineStr">
        <is>
          <t>Category</t>
        </is>
      </c>
      <c r="E4" s="5" t="inlineStr">
        <is>
          <t>Likelihood (1-5)</t>
        </is>
      </c>
      <c r="F4" s="5" t="inlineStr">
        <is>
          <t>Impact (1-5)</t>
        </is>
      </c>
      <c r="G4" s="5" t="inlineStr">
        <is>
          <t>Score</t>
        </is>
      </c>
      <c r="H4" s="5" t="inlineStr">
        <is>
          <t>Mitigation</t>
        </is>
      </c>
      <c r="I4" s="5" t="inlineStr">
        <is>
          <t>Owner</t>
        </is>
      </c>
      <c r="J4" s="5" t="inlineStr">
        <is>
          <t>Status</t>
        </is>
      </c>
    </row>
    <row r="5" ht="54" customHeight="1">
      <c r="B5" s="6" t="inlineStr">
        <is>
          <t>R01</t>
        </is>
      </c>
      <c r="C5" s="6" t="inlineStr">
        <is>
          <t>Testing the bare model instead of the deployed system</t>
        </is>
      </c>
      <c r="D5" s="6" t="inlineStr">
        <is>
          <t>Method</t>
        </is>
      </c>
      <c r="E5" s="11" t="n">
        <v>3</v>
      </c>
      <c r="F5" s="11" t="n">
        <v>4</v>
      </c>
      <c r="G5" s="20">
        <f>E5*F5</f>
        <v>12</v>
      </c>
      <c r="H5" s="6" t="inlineStr">
        <is>
          <t>Tenet enforced: target adapter requires deployed-app endpoint; surface map proves it</t>
        </is>
      </c>
      <c r="I5" s="6" t="inlineStr">
        <is>
          <t>Arch</t>
        </is>
      </c>
      <c r="J5" s="6" t="inlineStr">
        <is>
          <t>Open</t>
        </is>
      </c>
    </row>
    <row r="6" ht="38" customHeight="1">
      <c r="B6" s="7" t="inlineStr">
        <is>
          <t>R02</t>
        </is>
      </c>
      <c r="C6" s="7" t="inlineStr">
        <is>
          <t>Production attack causes outage or customer harm</t>
        </is>
      </c>
      <c r="D6" s="7" t="inlineStr">
        <is>
          <t>Safety</t>
        </is>
      </c>
      <c r="E6" s="14" t="n">
        <v>2</v>
      </c>
      <c r="F6" s="14" t="n">
        <v>5</v>
      </c>
      <c r="G6" s="23">
        <f>E6*F6</f>
        <v>10</v>
      </c>
      <c r="H6" s="7" t="inlineStr">
        <is>
          <t>ROAI + rate caps + budget meters + sandbox-first; sensitive packs behind G1</t>
        </is>
      </c>
      <c r="I6" s="7" t="inlineStr">
        <is>
          <t>RT</t>
        </is>
      </c>
      <c r="J6" s="7" t="inlineStr">
        <is>
          <t>Open</t>
        </is>
      </c>
    </row>
    <row r="7" ht="54" customHeight="1">
      <c r="B7" s="6" t="inlineStr">
        <is>
          <t>R03</t>
        </is>
      </c>
      <c r="C7" s="6" t="inlineStr">
        <is>
          <t>Judge false positives erode client trust</t>
        </is>
      </c>
      <c r="D7" s="6" t="inlineStr">
        <is>
          <t>Quality</t>
        </is>
      </c>
      <c r="E7" s="11" t="n">
        <v>3</v>
      </c>
      <c r="F7" s="11" t="n">
        <v>4</v>
      </c>
      <c r="G7" s="20">
        <f>E7*F7</f>
        <v>12</v>
      </c>
      <c r="H7" s="6" t="inlineStr">
        <is>
          <t>Dual-mode judging; verifier FP-kill; agreement KPI &gt;=80%; human-confirmed criticals</t>
        </is>
      </c>
      <c r="I7" s="6" t="inlineStr">
        <is>
          <t>ASE1</t>
        </is>
      </c>
      <c r="J7" s="6" t="inlineStr">
        <is>
          <t>Open</t>
        </is>
      </c>
    </row>
    <row r="8" ht="38" customHeight="1">
      <c r="B8" s="7" t="inlineStr">
        <is>
          <t>R04</t>
        </is>
      </c>
      <c r="C8" s="7" t="inlineStr">
        <is>
          <t>Real PII leaves target boundary during EXF tests</t>
        </is>
      </c>
      <c r="D8" s="7" t="inlineStr">
        <is>
          <t>Compliance</t>
        </is>
      </c>
      <c r="E8" s="14" t="n">
        <v>2</v>
      </c>
      <c r="F8" s="14" t="n">
        <v>5</v>
      </c>
      <c r="G8" s="23">
        <f>E8*F8</f>
        <v>10</v>
      </c>
      <c r="H8" s="7" t="inlineStr">
        <is>
          <t>Canary/honeytoken-only exfiltration proofs; payload safety screen; DPA in ROAI</t>
        </is>
      </c>
      <c r="I8" s="7" t="inlineStr">
        <is>
          <t>EL</t>
        </is>
      </c>
      <c r="J8" s="7" t="inlineStr">
        <is>
          <t>Open</t>
        </is>
      </c>
    </row>
    <row r="9" ht="38" customHeight="1">
      <c r="B9" s="6" t="inlineStr">
        <is>
          <t>R05</t>
        </is>
      </c>
      <c r="C9" s="6" t="inlineStr">
        <is>
          <t>Model/guardrail updates invalidate baselines</t>
        </is>
      </c>
      <c r="D9" s="6" t="inlineStr">
        <is>
          <t>Technical</t>
        </is>
      </c>
      <c r="E9" s="11" t="n">
        <v>4</v>
      </c>
      <c r="F9" s="11" t="n">
        <v>3</v>
      </c>
      <c r="G9" s="20">
        <f>E9*F9</f>
        <v>12</v>
      </c>
      <c r="H9" s="6" t="inlineStr">
        <is>
          <t>Sentinel 24h update detection; automated regression suite; versioned baselines</t>
        </is>
      </c>
      <c r="I9" s="6" t="inlineStr">
        <is>
          <t>AE</t>
        </is>
      </c>
      <c r="J9" s="6" t="inlineStr">
        <is>
          <t>Open</t>
        </is>
      </c>
    </row>
    <row r="10" ht="38" customHeight="1">
      <c r="B10" s="7" t="inlineStr">
        <is>
          <t>R06</t>
        </is>
      </c>
      <c r="C10" s="7" t="inlineStr">
        <is>
          <t>Target sprawl (every team ships a new copilot)</t>
        </is>
      </c>
      <c r="D10" s="7" t="inlineStr">
        <is>
          <t>Scope</t>
        </is>
      </c>
      <c r="E10" s="14" t="n">
        <v>4</v>
      </c>
      <c r="F10" s="14" t="n">
        <v>3</v>
      </c>
      <c r="G10" s="23">
        <f>E10*F10</f>
        <v>12</v>
      </c>
      <c r="H10" s="7" t="inlineStr">
        <is>
          <t>ROAI enumerates targets; class-based scoping; per-target pricing</t>
        </is>
      </c>
      <c r="I10" s="7" t="inlineStr">
        <is>
          <t>EL</t>
        </is>
      </c>
      <c r="J10" s="7" t="inlineStr">
        <is>
          <t>Open</t>
        </is>
      </c>
    </row>
    <row r="11" ht="38" customHeight="1">
      <c r="B11" s="6" t="inlineStr">
        <is>
          <t>R07</t>
        </is>
      </c>
      <c r="C11" s="6" t="inlineStr">
        <is>
          <t>Prompt-injection specialist scarcity</t>
        </is>
      </c>
      <c r="D11" s="6" t="inlineStr">
        <is>
          <t>People</t>
        </is>
      </c>
      <c r="E11" s="11" t="n">
        <v>3</v>
      </c>
      <c r="F11" s="11" t="n">
        <v>3</v>
      </c>
      <c r="G11" s="20">
        <f>E11*F11</f>
        <v>9</v>
      </c>
      <c r="H11" s="6" t="inlineStr">
        <is>
          <t>Train SCA/DAST engineers via pack runbooks; prompt-engineer upskilling; academy</t>
        </is>
      </c>
      <c r="I11" s="6" t="inlineStr">
        <is>
          <t>Arch</t>
        </is>
      </c>
      <c r="J11" s="6" t="inlineStr">
        <is>
          <t>Open</t>
        </is>
      </c>
    </row>
    <row r="12" ht="54" customHeight="1">
      <c r="B12" s="7" t="inlineStr">
        <is>
          <t>R08</t>
        </is>
      </c>
      <c r="C12" s="7" t="inlineStr">
        <is>
          <t>Technique library ages vs fast-moving attacks</t>
        </is>
      </c>
      <c r="D12" s="7" t="inlineStr">
        <is>
          <t>Market</t>
        </is>
      </c>
      <c r="E12" s="14" t="n">
        <v>3</v>
      </c>
      <c r="F12" s="14" t="n">
        <v>4</v>
      </c>
      <c r="G12" s="23">
        <f>E12*F12</f>
        <v>12</v>
      </c>
      <c r="H12" s="7" t="inlineStr">
        <is>
          <t>Monthly threat-intel pack pipeline; community probes (Garak/PyRIT updates); ATLAS tracking</t>
        </is>
      </c>
      <c r="I12" s="7" t="inlineStr">
        <is>
          <t>ASE2</t>
        </is>
      </c>
      <c r="J12" s="7" t="inlineStr">
        <is>
          <t>Open</t>
        </is>
      </c>
    </row>
    <row r="13" ht="54" customHeight="1">
      <c r="B13" s="6" t="inlineStr">
        <is>
          <t>R09</t>
        </is>
      </c>
      <c r="C13" s="6" t="inlineStr">
        <is>
          <t>Client treats report as one-off, no continuous</t>
        </is>
      </c>
      <c r="D13" s="6" t="inlineStr">
        <is>
          <t>Business</t>
        </is>
      </c>
      <c r="E13" s="11" t="n">
        <v>3</v>
      </c>
      <c r="F13" s="11" t="n">
        <v>3</v>
      </c>
      <c r="G13" s="20">
        <f>E13*F13</f>
        <v>9</v>
      </c>
      <c r="H13" s="6" t="inlineStr">
        <is>
          <t>Regulatory evidence needs recurring (AI Act Art 15); Sentinel value story; conversion KPI</t>
        </is>
      </c>
      <c r="I13" s="6" t="inlineStr">
        <is>
          <t>EL</t>
        </is>
      </c>
      <c r="J13" s="6" t="inlineStr">
        <is>
          <t>Open</t>
        </is>
      </c>
    </row>
    <row r="14" ht="38" customHeight="1">
      <c r="B14" s="7" t="inlineStr">
        <is>
          <t>R10</t>
        </is>
      </c>
      <c r="C14" s="7" t="inlineStr">
        <is>
          <t>Lighthouse copilot project slips</t>
        </is>
      </c>
      <c r="D14" s="7" t="inlineStr">
        <is>
          <t>Market</t>
        </is>
      </c>
      <c r="E14" s="14" t="n">
        <v>3</v>
      </c>
      <c r="F14" s="14" t="n">
        <v>4</v>
      </c>
      <c r="G14" s="23">
        <f>E14*F14</f>
        <v>12</v>
      </c>
      <c r="H14" s="7" t="inlineStr">
        <is>
          <t>Two lighthouse candidates; internal copilot as fallback showcase</t>
        </is>
      </c>
      <c r="I14" s="7" t="inlineStr">
        <is>
          <t>EL</t>
        </is>
      </c>
      <c r="J14" s="7" t="inlineStr">
        <is>
          <t>Open</t>
        </is>
      </c>
    </row>
    <row r="16">
      <c r="B16" s="2" t="inlineStr">
        <is>
          <t>RAG: score &gt;=15 red / 8-14 amber / &lt;8 green. R02 and R04 are hard safety gates — any breach halts the campaign.</t>
        </is>
      </c>
    </row>
  </sheetData>
  <mergeCells count="1">
    <mergeCell ref="B2:I2"/>
  </mergeCells>
  <conditionalFormatting sqref="G5:G14">
    <cfRule type="cellIs" priority="1" operator="greaterThanOrEqual" dxfId="2">
      <formula>15</formula>
    </cfRule>
    <cfRule type="cellIs" priority="2" operator="between" dxfId="1">
      <formula>8</formula>
      <formula>14</formula>
    </cfRule>
    <cfRule type="cellIs" priority="3" operator="lessThan" dxfId="0">
      <formula>8</formula>
    </cfRule>
  </conditionalFormatting>
  <dataValidations count="2">
    <dataValidation sqref="E5:F14" showDropDown="0" showInputMessage="0" showErrorMessage="1" allowBlank="0" errorTitle="Invalid rating" error="1-5" type="whole" operator="between">
      <formula1>1</formula1>
      <formula2>5</formula2>
    </dataValidation>
    <dataValidation sqref="J5:J14" showDropDown="0" showInputMessage="0" showErrorMessage="1" allowBlank="0" errorTitle="Invalid status" error="Pick a status" type="list">
      <formula1>"Open,Mitigating,Closed"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62" customWidth="1" min="2" max="2"/>
    <col width="70" customWidth="1" min="3" max="3"/>
    <col width="70" customWidth="1" min="4" max="4"/>
    <col width="10" customWidth="1" min="5" max="5"/>
    <col width="70" customWidth="1" min="6" max="6"/>
    <col width="8" customWidth="1" min="7" max="7"/>
  </cols>
  <sheetData>
    <row r="1" ht="15" customHeight="1"/>
    <row r="2" ht="32" customHeight="1">
      <c r="B2" s="1" t="inlineStr">
        <is>
          <t>Context Memory — Decisions, Environment, Quirks, Sessions (v1.1)</t>
        </is>
      </c>
    </row>
    <row r="3" ht="8" customHeight="1"/>
    <row r="4" ht="24" customHeight="1">
      <c r="B4" s="3" t="inlineStr">
        <is>
          <t>Locked decisions (full log: AI_RedForge_Project_Memory.md)</t>
        </is>
      </c>
    </row>
    <row r="5" ht="28" customHeight="1">
      <c r="B5" s="5" t="inlineStr">
        <is>
          <t>#</t>
        </is>
      </c>
      <c r="C5" s="5" t="inlineStr">
        <is>
          <t>Decision</t>
        </is>
      </c>
      <c r="D5" s="5" t="inlineStr">
        <is>
          <t>Status</t>
        </is>
      </c>
    </row>
    <row r="6" ht="54" customHeight="1">
      <c r="B6" s="6" t="inlineStr">
        <is>
          <t>D1</t>
        </is>
      </c>
      <c r="C6" s="6" t="inlineStr">
        <is>
          <t>Target = Tier-1 technical demo (M0-M6c): full swarm, 6 P0 MCP servers, 40-technique corpus, dual-mode judge, scorecard, report vs vulnerable demo target</t>
        </is>
      </c>
      <c r="D6" s="6" t="inlineStr">
        <is>
          <t>Locked S1</t>
        </is>
      </c>
    </row>
    <row r="7" ht="38" customHeight="1">
      <c r="B7" s="7" t="inlineStr">
        <is>
          <t>D2</t>
        </is>
      </c>
      <c r="C7" s="7" t="inlineStr">
        <is>
          <t>Tier-3 GTM items (T29-T36: beta SOW, pricing, certified pods) OUT of scope — human/org work, not code</t>
        </is>
      </c>
      <c r="D7" s="7" t="inlineStr">
        <is>
          <t>Locked S1</t>
        </is>
      </c>
    </row>
    <row r="8" ht="38" customHeight="1">
      <c r="B8" s="6" t="inlineStr">
        <is>
          <t>D3</t>
        </is>
      </c>
      <c r="C8" s="6" t="inlineStr">
        <is>
          <t>LLM API keys deferred (user adds later). Demo-mode-first: offline scripted providers; real mode = .env flip</t>
        </is>
      </c>
      <c r="D8" s="6" t="inlineStr">
        <is>
          <t>Locked S3</t>
        </is>
      </c>
    </row>
    <row r="9" ht="54" customHeight="1">
      <c r="B9" s="7" t="inlineStr">
        <is>
          <t>D4</t>
        </is>
      </c>
      <c r="C9" s="7" t="inlineStr">
        <is>
          <t>Docker optional, not a blocker. SQLite (sqlalchemy+aiosqlite) for Postgres; filesystem for S3; OPA binary available so real Rego usable</t>
        </is>
      </c>
      <c r="D9" s="7" t="inlineStr">
        <is>
          <t>Locked S2</t>
        </is>
      </c>
    </row>
    <row r="10" ht="38" customHeight="1">
      <c r="B10" s="6" t="inlineStr">
        <is>
          <t>D5</t>
        </is>
      </c>
      <c r="C10" s="6" t="inlineStr">
        <is>
          <t>Agentic UI first-class: RedForge Console, enterprise grade (was only thin portal line L5/T23)</t>
        </is>
      </c>
      <c r="D10" s="6" t="inlineStr">
        <is>
          <t>Locked S3</t>
        </is>
      </c>
    </row>
    <row r="11" ht="54" customHeight="1">
      <c r="B11" s="7" t="inlineStr">
        <is>
          <t>D6</t>
        </is>
      </c>
      <c r="C11" s="7" t="inlineStr">
        <is>
          <t>Reference architecture: threat-modelling-agent-master (FastAPI + Next.js swarm, mission-control streaming, trace replay, SQLite)</t>
        </is>
      </c>
      <c r="D11" s="7" t="inlineStr">
        <is>
          <t>Locked S1</t>
        </is>
      </c>
    </row>
    <row r="12" ht="54" customHeight="1">
      <c r="B12" s="6" t="inlineStr">
        <is>
          <t>D7</t>
        </is>
      </c>
      <c r="C12" s="6" t="inlineStr">
        <is>
          <t>JARVIS-level UI as dual-mode: Ops Mode (audit default) + HUD Mode (cinematic) on ONE event stream; voice keyless via Web Speech API; phased so gates never depend on shader polish</t>
        </is>
      </c>
      <c r="D12" s="6" t="inlineStr">
        <is>
          <t>Locked S4</t>
        </is>
      </c>
    </row>
    <row r="13" ht="166" customHeight="1">
      <c r="B13" s="7" t="inlineStr">
        <is>
          <t>D8</t>
        </is>
      </c>
      <c r="C13" s="7" t="inlineStr">
        <is>
          <t>World View (from user's 2 reference reels, decoded frame-by-frame): the screen IS a 3D world at /world — protagonist core orb (GLSL fresnel+fbm, sunburst tick dial, orbits, dust), 9-node swarm constellation + G1/G2 diamond gates with event-driven pulses/impacts, diegetic DOM instruments (reactor gauges, fleet radar, audio field, MCP diagnostics, typewriter terminal, glass PRIMARY OBJECTIVE banner), voice captions + command echo, camera fly-to + node holograms with gate signature bridge, replay timeline; violet/navy themes; offline scripted demo loop; ops mode untouched (route groups)</t>
        </is>
      </c>
      <c r="D13" s="7" t="inlineStr">
        <is>
          <t>Locked S7</t>
        </is>
      </c>
    </row>
    <row r="14" ht="230" customHeight="1">
      <c r="B14" s="6" t="inlineStr">
        <is>
          <t>D9</t>
        </is>
      </c>
      <c r="C14" s="6" t="inlineStr">
        <is>
          <t>Entry Sequence / boot ritual (from user's 3rd reel Video-11678, decoded frame-by-frame): the world BOOTS as a ritual — ~12k molecule particles assemble a FEATURELESS humanoid head silhouette (D9 amendment: no eyes/brows/mouth/nose, overall shape only) via GPU vertex-shader convergence (bezier + per-particle stagger); the Orchestrator then asks 'are you ready?' answered by VOICE (Web Speech) or a glass YES button; on YES the agent planets bloom around him in stagger (~400ms each, elastic) with links drawing in; instruments materialize sequentially after; the sky lives on: rockets cross edge-to-edge every ~2min, fiery-tail meteoroids every ~1min; agent handoffs blink the connecting line 3x with a 6-packet stream, fired ONCE per transition. Guards: ?boot=skip for E2E, sessionStorage fast-path on repeat visits, join-live when a campaign is running, reduced-motion fallback</t>
        </is>
      </c>
      <c r="D14" s="6" t="inlineStr">
        <is>
          <t>Locked S8</t>
        </is>
      </c>
    </row>
    <row r="15" ht="22" customHeight="1"/>
    <row r="16" ht="22" customHeight="1"/>
    <row r="17" ht="24" customHeight="1">
      <c r="B17" s="3" t="inlineStr">
        <is>
          <t>Environment readiness (installed &amp; smoke-tested Sep 10 2026)</t>
        </is>
      </c>
    </row>
    <row r="18" ht="28" customHeight="1">
      <c r="B18" s="5" t="inlineStr">
        <is>
          <t>Block</t>
        </is>
      </c>
      <c r="C18" s="5" t="inlineStr">
        <is>
          <t>Weight</t>
        </is>
      </c>
      <c r="D18" s="5" t="inlineStr">
        <is>
          <t>Status</t>
        </is>
      </c>
      <c r="E18" s="5" t="inlineStr">
        <is>
          <t>Achieved</t>
        </is>
      </c>
      <c r="F18" s="5" t="inlineStr">
        <is>
          <t>Detail</t>
        </is>
      </c>
    </row>
    <row r="19" ht="22" customHeight="1">
      <c r="B19" s="6" t="inlineStr">
        <is>
          <t>Core API stack (fastapi/uvicorn/pydantic/httpx/jinja2)</t>
        </is>
      </c>
      <c r="C19" s="8" t="n">
        <v>10</v>
      </c>
      <c r="D19" s="6" t="inlineStr">
        <is>
          <t>PASS</t>
        </is>
      </c>
      <c r="E19" s="8" t="n">
        <v>10</v>
      </c>
      <c r="F19" s="6" t="inlineStr">
        <is>
          <t>fastapi 0.141.1, uvicorn 0.52.4, pydantic 2.13.5</t>
        </is>
      </c>
    </row>
    <row r="20" ht="38" customHeight="1">
      <c r="B20" s="7" t="inlineStr">
        <is>
          <t>MCP SDK (mcp + fastmcp)</t>
        </is>
      </c>
      <c r="C20" s="9" t="n">
        <v>15</v>
      </c>
      <c r="D20" s="7" t="inlineStr">
        <is>
          <t>PASS</t>
        </is>
      </c>
      <c r="E20" s="9" t="n">
        <v>15</v>
      </c>
      <c r="F20" s="7" t="inlineStr">
        <is>
          <t>mcp 2.2.0 (MCPServer API) + fastmcp 4.0.3 (FastMCP API) — both verified</t>
        </is>
      </c>
    </row>
    <row r="21" ht="22" customHeight="1">
      <c r="B21" s="6" t="inlineStr">
        <is>
          <t>Orchestration (langgraph)</t>
        </is>
      </c>
      <c r="C21" s="8" t="n">
        <v>10</v>
      </c>
      <c r="D21" s="6" t="inlineStr">
        <is>
          <t>PASS</t>
        </is>
      </c>
      <c r="E21" s="8" t="n">
        <v>10</v>
      </c>
      <c r="F21" s="6" t="inlineStr">
        <is>
          <t>langgraph 1.2.11</t>
        </is>
      </c>
    </row>
    <row r="22" ht="22" customHeight="1">
      <c r="B22" s="7" t="inlineStr">
        <is>
          <t>Attack engine PyRIT</t>
        </is>
      </c>
      <c r="C22" s="9" t="n">
        <v>10</v>
      </c>
      <c r="D22" s="7" t="inlineStr">
        <is>
          <t>PASS</t>
        </is>
      </c>
      <c r="E22" s="9" t="n">
        <v>10</v>
      </c>
      <c r="F22" s="7" t="inlineStr">
        <is>
          <t>pyrit 1.1.0 (1.x layout: executor/score/memory)</t>
        </is>
      </c>
    </row>
    <row r="23" ht="22" customHeight="1">
      <c r="B23" s="6" t="inlineStr">
        <is>
          <t>Attack engine Garak</t>
        </is>
      </c>
      <c r="C23" s="8" t="n">
        <v>5</v>
      </c>
      <c r="D23" s="6" t="inlineStr">
        <is>
          <t>PASS</t>
        </is>
      </c>
      <c r="E23" s="8" t="n">
        <v>5</v>
      </c>
      <c r="F23" s="6" t="inlineStr">
        <is>
          <t>garak 0.17.0</t>
        </is>
      </c>
    </row>
    <row r="24" ht="22" customHeight="1">
      <c r="B24" s="7" t="inlineStr">
        <is>
          <t>Attack suite promptfoo</t>
        </is>
      </c>
      <c r="C24" s="9" t="n">
        <v>5</v>
      </c>
      <c r="D24" s="7" t="inlineStr">
        <is>
          <t>PASS</t>
        </is>
      </c>
      <c r="E24" s="9" t="n">
        <v>5</v>
      </c>
      <c r="F24" s="7" t="inlineStr">
        <is>
          <t>0.123.0 via node entrypoint</t>
        </is>
      </c>
    </row>
    <row r="25" ht="22" customHeight="1">
      <c r="B25" s="6" t="inlineStr">
        <is>
          <t>Scanner Giskard</t>
        </is>
      </c>
      <c r="C25" s="8" t="n">
        <v>5</v>
      </c>
      <c r="D25" s="6" t="inlineStr">
        <is>
          <t>PASS</t>
        </is>
      </c>
      <c r="E25" s="8" t="n">
        <v>5</v>
      </c>
      <c r="F25" s="6" t="inlineStr">
        <is>
          <t>giskard 3.0.0</t>
        </is>
      </c>
    </row>
    <row r="26" ht="22" customHeight="1">
      <c r="B26" s="7" t="inlineStr">
        <is>
          <t>Browser automation (Playwright + Chromium)</t>
        </is>
      </c>
      <c r="C26" s="9" t="n">
        <v>10</v>
      </c>
      <c r="D26" s="7" t="inlineStr">
        <is>
          <t>PASS</t>
        </is>
      </c>
      <c r="E26" s="9" t="n">
        <v>10</v>
      </c>
      <c r="F26" s="7" t="inlineStr">
        <is>
          <t>playwright 1.62.0 + Chromium 151 headless</t>
        </is>
      </c>
    </row>
    <row r="27" ht="22" customHeight="1">
      <c r="B27" s="6" t="inlineStr">
        <is>
          <t>Policy engine (OPA)</t>
        </is>
      </c>
      <c r="C27" s="8" t="n">
        <v>5</v>
      </c>
      <c r="D27" s="6" t="inlineStr">
        <is>
          <t>PASS</t>
        </is>
      </c>
      <c r="E27" s="8" t="n">
        <v>5</v>
      </c>
      <c r="F27" s="6" t="inlineStr">
        <is>
          <t>OPA 1.20.2 at .tools/opa.exe</t>
        </is>
      </c>
    </row>
    <row r="28" ht="22" customHeight="1">
      <c r="B28" s="7" t="inlineStr">
        <is>
          <t>Evidence/data layer (sqlalchemy + aiosqlite + sqlite3)</t>
        </is>
      </c>
      <c r="C28" s="9" t="n">
        <v>10</v>
      </c>
      <c r="D28" s="7" t="inlineStr">
        <is>
          <t>PASS</t>
        </is>
      </c>
      <c r="E28" s="9" t="n">
        <v>10</v>
      </c>
      <c r="F28" s="7" t="inlineStr">
        <is>
          <t>sqlalchemy 2.0.52, sqlite 3.49.1</t>
        </is>
      </c>
    </row>
    <row r="29" ht="22" customHeight="1">
      <c r="B29" s="6" t="inlineStr">
        <is>
          <t>LLM API access (real-attack mode)</t>
        </is>
      </c>
      <c r="C29" s="8" t="n">
        <v>0</v>
      </c>
      <c r="D29" s="6" t="inlineStr">
        <is>
          <t>DEFERRED</t>
        </is>
      </c>
      <c r="E29" s="8" t="n">
        <v>0</v>
      </c>
      <c r="F29" s="6" t="inlineStr">
        <is>
          <t>User adds keys later (D3); demo-mode covers M0-M6c</t>
        </is>
      </c>
    </row>
    <row r="30" ht="38" customHeight="1">
      <c r="B30" s="7" t="inlineStr">
        <is>
          <t>Docker engine</t>
        </is>
      </c>
      <c r="C30" s="9" t="n">
        <v>5</v>
      </c>
      <c r="D30" s="7" t="inlineStr">
        <is>
          <t>PARTIAL</t>
        </is>
      </c>
      <c r="E30" s="9" t="n">
        <v>2.5</v>
      </c>
      <c r="F30" s="7" t="inlineStr">
        <is>
          <t>CLI 29.7.2 installed; engine needs admin wsl --install + reboot; optional per D4</t>
        </is>
      </c>
    </row>
    <row r="31" ht="26" customHeight="1">
      <c r="B31" s="16" t="inlineStr">
        <is>
          <t>Total — readiness 87.5 / 90 = 97.2% (demo-critical 100%)</t>
        </is>
      </c>
      <c r="C31" s="28" t="n">
        <v>90</v>
      </c>
      <c r="D31" s="16" t="n"/>
      <c r="E31" s="28" t="n">
        <v>87.5</v>
      </c>
      <c r="F31" s="16" t="n"/>
    </row>
    <row r="32" ht="22" customHeight="1"/>
    <row r="33" ht="22" customHeight="1"/>
    <row r="34" ht="24" customHeight="1">
      <c r="B34" s="3" t="inlineStr">
        <is>
          <t>API quirks discovered (do not re-learn)</t>
        </is>
      </c>
    </row>
    <row r="35" ht="28" customHeight="1">
      <c r="B35" s="5" t="inlineStr">
        <is>
          <t>#</t>
        </is>
      </c>
      <c r="C35" s="5" t="inlineStr">
        <is>
          <t>Topic</t>
        </is>
      </c>
      <c r="D35" s="5" t="inlineStr">
        <is>
          <t>Detail</t>
        </is>
      </c>
    </row>
    <row r="36" ht="54" customHeight="1">
      <c r="B36" s="6" t="inlineStr">
        <is>
          <t>Q1</t>
        </is>
      </c>
      <c r="C36" s="6" t="inlineStr">
        <is>
          <t>PyRIT 1.x new module layout</t>
        </is>
      </c>
      <c r="D36" s="6" t="inlineStr">
        <is>
          <t>pyrit.executor (attack/benchmark/promptgen/workflow), pyrit.score.llm_scoring, pyrit.memory.sqlite_memory; 0.x pyrit.orchestrator is GONE — mcp-pyrit targets 1.x</t>
        </is>
      </c>
    </row>
    <row r="37" ht="38" customHeight="1">
      <c r="B37" s="7" t="inlineStr">
        <is>
          <t>Q2</t>
        </is>
      </c>
      <c r="C37" s="7" t="inlineStr">
        <is>
          <t>MCP SDK 2.x rename</t>
        </is>
      </c>
      <c r="D37" s="7" t="inlineStr">
        <is>
          <t>Official FastMCP renamed MCPServer (mcp.server.mcpserver); standalone fastmcp keeps FastMCP — both installed &amp; verified</t>
        </is>
      </c>
    </row>
    <row r="38" ht="54" customHeight="1">
      <c r="B38" s="6" t="inlineStr">
        <is>
          <t>Q3</t>
        </is>
      </c>
      <c r="C38" s="6" t="inlineStr">
        <is>
          <t>Git Bash path mangling</t>
        </is>
      </c>
      <c r="D38" s="6" t="inlineStr">
        <is>
          <t>.cmd shims + downloaded exes fail when invoked directly; promptfoo via node entrypoint.js, OPA via subprocess arg-list / cmd //c</t>
        </is>
      </c>
    </row>
    <row r="39" ht="38" customHeight="1">
      <c r="B39" s="7" t="inlineStr">
        <is>
          <t>Q4</t>
        </is>
      </c>
      <c r="C39" s="7" t="inlineStr">
        <is>
          <t>fastapi/starlette conflict</t>
        </is>
      </c>
      <c r="D39" s="7" t="inlineStr">
        <is>
          <t>fastapi upgraded 0.111 to 0.141.1 after MCP SDK pulled starlette 1.6.0 (resolved)</t>
        </is>
      </c>
    </row>
    <row r="40" ht="38" customHeight="1">
      <c r="B40" s="6" t="inlineStr">
        <is>
          <t>Q5</t>
        </is>
      </c>
      <c r="C40" s="6" t="inlineStr">
        <is>
          <t>httpx ASGITransport hangs on SSE</t>
        </is>
      </c>
      <c r="D40" s="6" t="inlineStr">
        <is>
          <t>Test the stream against a real uvicorn server (port 8971 fixture), never in-process ASGI transport</t>
        </is>
      </c>
    </row>
    <row r="41" ht="38" customHeight="1">
      <c r="B41" s="7" t="inlineStr">
        <is>
          <t>Q6</t>
        </is>
      </c>
      <c r="C41" s="7" t="inlineStr">
        <is>
          <t>Port 3000 occupied</t>
        </is>
      </c>
      <c r="D41" s="7" t="inlineStr">
        <is>
          <t>Belongs to threat-modeller reference app — console runs on 3100, API on 8000, api tests on 8971</t>
        </is>
      </c>
    </row>
    <row r="42" ht="38" customHeight="1">
      <c r="B42" s="6" t="inlineStr">
        <is>
          <t>Q7</t>
        </is>
      </c>
      <c r="C42" s="6" t="inlineStr">
        <is>
          <t>Port kill on Windows</t>
        </is>
      </c>
      <c r="D42" s="6" t="inlineStr">
        <is>
          <t>taskkill /F /T /PID by netstat lookup; TaskStop of npm leaves node children orphaned (EADDRINUSE next start)</t>
        </is>
      </c>
    </row>
    <row r="43" ht="70" customHeight="1">
      <c r="B43" s="7" t="inlineStr">
        <is>
          <t>Q11</t>
        </is>
      </c>
      <c r="C43" s="7" t="inlineStr">
        <is>
          <t>Next 15 rewrites buffer SSE bodies for browsers</t>
        </is>
      </c>
      <c r="D43" s="7" t="inlineStr">
        <is>
          <t>curl sees data, EventSource sees headers only → console EventSource targets API origin directly (NEXT_PUBLIC_API_BASE, default http://127.0.0.1:8000); API CORS allowlists :3000/:3100; SSE replays history on connect (late joiners OK)</t>
        </is>
      </c>
    </row>
    <row r="44" ht="102" customHeight="1">
      <c r="B44" s="6" t="inlineStr">
        <is>
          <t>Q12</t>
        </is>
      </c>
      <c r="C44" s="6" t="inlineStr">
        <is>
          <t>LiveCampaign.start() wiped SSE subscribers AND reset seq (FIXED S7)</t>
        </is>
      </c>
      <c r="D44" s="6" t="inlineStr">
        <is>
          <t>self.__init__() dropped every already-connected subscriber AND restarted seq at 1 while the stream gates on e.seq &gt; sent — replayed-history clients silently discarded all new events; fixed by preserving subscribers + monotonic seq; airtight regression test test_sse_subscriber_survives_campaign_restart; old e2e text=JUDGE assertion had matched the DAG label and masked this</t>
        </is>
      </c>
    </row>
    <row r="45" ht="22" customHeight="1"/>
    <row r="46" ht="22" customHeight="1"/>
    <row r="47" ht="24" customHeight="1">
      <c r="B47" s="3" t="inlineStr">
        <is>
          <t>Deferred items</t>
        </is>
      </c>
    </row>
    <row r="48" ht="28" customHeight="1">
      <c r="B48" s="5" t="inlineStr">
        <is>
          <t>Item</t>
        </is>
      </c>
      <c r="C48" s="5" t="inlineStr">
        <is>
          <t>Next Step</t>
        </is>
      </c>
    </row>
    <row r="49" ht="38" customHeight="1">
      <c r="B49" s="6" t="inlineStr">
        <is>
          <t>LLM API key</t>
        </is>
      </c>
      <c r="C49" s="6" t="inlineStr">
        <is>
          <t>User provides later; flip LLM_PROVIDER demo to real; activates real attacks + LLM-judge (+~5% outcome probability)</t>
        </is>
      </c>
    </row>
    <row r="50" ht="38" customHeight="1">
      <c r="B50" s="7" t="inlineStr">
        <is>
          <t>Docker engine (optional)</t>
        </is>
      </c>
      <c r="C50" s="7" t="inlineStr">
        <is>
          <t>Admin: wsl --install, reboot, start Docker Desktop; only needed for containerized Postgres/S3/sandbox later</t>
        </is>
      </c>
    </row>
    <row r="51" ht="22" customHeight="1">
      <c r="B51" s="6" t="inlineStr">
        <is>
          <t>Realtime voice models</t>
        </is>
      </c>
      <c r="C51" s="6" t="inlineStr">
        <is>
          <t>After keys arrive; Web Speech API covers HUD voice until then</t>
        </is>
      </c>
    </row>
    <row r="52" ht="22" customHeight="1"/>
    <row r="53" ht="22" customHeight="1"/>
    <row r="54" ht="24" customHeight="1">
      <c r="B54" s="3" t="inlineStr">
        <is>
          <t>Session log</t>
        </is>
      </c>
    </row>
    <row r="55" ht="28" customHeight="1">
      <c r="B55" s="5" t="inlineStr">
        <is>
          <t>Session</t>
        </is>
      </c>
      <c r="C55" s="5" t="inlineStr">
        <is>
          <t>Summary</t>
        </is>
      </c>
    </row>
    <row r="56" ht="38" customHeight="1">
      <c r="B56" s="6" t="inlineStr">
        <is>
          <t>S1 2026-09-10</t>
        </is>
      </c>
      <c r="C56" s="6" t="inlineStr">
        <is>
          <t>Full blueprint analysis; tiered outcome definition; milestone plan; P(Tier-1 demo)=85-90%, P(full blueprint incl. GTM)=10-15%</t>
        </is>
      </c>
    </row>
    <row r="57" ht="38" customHeight="1">
      <c r="B57" s="7" t="inlineStr">
        <is>
          <t>S2 2026-09-10</t>
        </is>
      </c>
      <c r="C57" s="7" t="inlineStr">
        <is>
          <t>Environment install campaign +77.5pts (10 to 87.5/100); quirks Q1-Q4 found; P(Tier-1) rose to 92-95%</t>
        </is>
      </c>
    </row>
    <row r="58" ht="38" customHeight="1">
      <c r="B58" s="6" t="inlineStr">
        <is>
          <t>S3 2026-09-10</t>
        </is>
      </c>
      <c r="C58" s="6" t="inlineStr">
        <is>
          <t>LLM-key block eliminated (97.2% env readiness; 100% demo-critical); Console UI plan added (D5); memory file created</t>
        </is>
      </c>
    </row>
    <row r="59" ht="54" customHeight="1">
      <c r="B59" s="7" t="inlineStr">
        <is>
          <t>S4 2026-09-10</t>
        </is>
      </c>
      <c r="C59" s="7" t="inlineStr">
        <is>
          <t>JARVIS-level UI locked as dual-mode (D7); M6b+ added; workbook regenerated v1.1 with Console UI / Exec Milestones / Context Memory sheets</t>
        </is>
      </c>
    </row>
    <row r="60" ht="118" customHeight="1">
      <c r="B60" s="6" t="inlineStr">
        <is>
          <t>S5 2026-09-10</t>
        </is>
      </c>
      <c r="C60" s="6" t="inlineStr">
        <is>
          <t>FULL BUILD via 8 parallel agents: repo redforge/ — M0-M5 gates ALL PASS, 143/143 pytest, 11/11 gates, E2E campaign 75 attempts/36 findings/8 packs confirmed, overall pass rate 100.0% (target 95%). 6 MCP servers registered in workspace .zcode/config.json (live on session restart). Console M6a DONE (10/10 routes, dark ops theme, production build). Run: scripts/run_gates.py, scripts/run_e2e.py; console: cd console &amp;&amp; npm run dev</t>
        </is>
      </c>
    </row>
    <row r="61" ht="166" customHeight="1">
      <c r="B61" s="7" t="inlineStr">
        <is>
          <t>S6 2026-09-10</t>
        </is>
      </c>
      <c r="C61" s="7" t="inlineStr">
        <is>
          <t>REMAINING WORK COMPLETE (M6b/M6b+/M6c): Live API (SSE event bus, python -m redforge.api) + console live wiring (mission control live DAG/transcript/controls, gates countersign, findings, scorecard) + HUD/JARVIS layer (R3F 3D constellation w/ bloom, keyless Web-Speech voice briefings, Cmd-K copilot, time-travel replay, reduced-motion guardrail). Console-driven E2E PASS: 75 attempts, 36/36 confirmed, 8/8 packs, FP 0.0, score 48.9 Poor, PDF dossier. FINAL: 14/14 gates + 146/146 pytest = 100.0% pass rate. Console at localhost:3100 (3000 belongs to threat-modeller), API at :8000.</t>
        </is>
      </c>
    </row>
    <row r="62" ht="230" customHeight="1">
      <c r="B62" s="6" t="inlineStr">
        <is>
          <t>S7 2026-09-11</t>
        </is>
      </c>
      <c r="C62" s="6" t="inlineStr">
        <is>
          <t>WORLD VIEW BUILT (D8, M7) from user's 2 reference reels (decoded frame-by-frame): /world full-screen 3D scene — GLSL core orb + sunburst dial + orbits + dust + grid + starfield + post-FX (bloom/chromatic/scanline/grain/vignette); 9-node constellation + G1/G2 diamond gates with event-driven pulses/impacts (world-bus); diegetic instruments (reactor, fleet radar, audio field, MCP diagnostics, typewriter terminal, glass objective banner); voice captions + command echo; camera fly-to + node/gate holograms w/ signature bridge; replay timeline; violet/navy themes; offline demo loop. Two real SSE bugs found+fixed: Q-11 (Next rewrite buffers SSE body for browsers → direct-origin EventSource + CORS :3100), Q-12 (start() wiped subscriber queues → fixed + regression test; old e2e assertion had masked it). pytest 147/147. Console v0.7.0-m7-world.</t>
        </is>
      </c>
    </row>
    <row r="63" ht="182" customHeight="1">
      <c r="B63" s="7" t="inlineStr">
        <is>
          <t>S8 2026-09-11</t>
        </is>
      </c>
      <c r="C63" s="7" t="inlineStr">
        <is>
          <t>PLANETS + 4K CLARITY + BOOT RITUAL (D8 polish, D9): every agent became a distinct procedural planet (banded gas giant OPERATORS w/ ring, Uranus-tilted SENTINEL, star SCORER, ringed SCOUT, moons) via one shared GLSL planet shader (bands/fbm/terminator/fresnel atmosphere); clarity pass (full DPR≤2.75, MSAA×4, grain/scanline/CA near-subliminal, text smoothing); D9 boot ritual built from 3rd reel: featureless particle head (user amendment) → readiness prompt (voice+YES) → staggered planet bloom + instrument reveal → living sky (rockets/meteoroids) → handoff packet choreography. Fixed Float32Array.set 4-wide-row overflow (head geometry). Console v0.8.0-m8-ritual.</t>
        </is>
      </c>
    </row>
    <row r="65">
      <c r="B65" s="2" t="inlineStr">
        <is>
          <t>This sheet + the memory file are the single source of continuity across sessions; update both together.</t>
        </is>
      </c>
    </row>
  </sheetData>
  <mergeCells count="1">
    <mergeCell ref="B2:G2"/>
  </mergeCells>
  <pageMargins left="0.75" right="0.75" top="1" bottom="1" header="0.5" footer="0.5"/>
</worksheet>
</file>

<file path=xl/worksheets/sheet16.xml><?xml version="1.0" encoding="utf-8"?>
<worksheet xmlns="http://schemas.openxmlformats.org/spreadsheetml/2006/main">
  <sheetPr>
    <tabColor rgb="00FFC000"/>
    <outlinePr summaryBelow="1" summaryRight="1"/>
    <pageSetUpPr/>
  </sheetPr>
  <dimension ref="A1:E21"/>
  <sheetViews>
    <sheetView showGridLines="0" workbookViewId="0">
      <selection activeCell="A1" sqref="A1"/>
    </sheetView>
  </sheetViews>
  <sheetFormatPr baseColWidth="8" defaultRowHeight="15"/>
  <cols>
    <col width="3" customWidth="1" min="1" max="1"/>
    <col width="38" customWidth="1" min="2" max="2"/>
    <col width="46" customWidth="1" min="3" max="3"/>
    <col width="46" customWidth="1" min="4" max="4"/>
    <col width="46" customWidth="1" min="5" max="5"/>
  </cols>
  <sheetData>
    <row r="1" ht="15" customHeight="1"/>
    <row r="2" ht="32" customHeight="1">
      <c r="B2" s="1" t="inlineStr">
        <is>
          <t>Review — Live Cross-Validation (all rows must show PASS)</t>
        </is>
      </c>
    </row>
    <row r="3" ht="8" customHeight="1"/>
    <row r="4" ht="28" customHeight="1">
      <c r="B4" s="5" t="inlineStr">
        <is>
          <t>Check</t>
        </is>
      </c>
      <c r="C4" s="5" t="inlineStr">
        <is>
          <t>Expected</t>
        </is>
      </c>
      <c r="D4" s="5" t="inlineStr">
        <is>
          <t>Actual</t>
        </is>
      </c>
      <c r="E4" s="5" t="inlineStr">
        <is>
          <t>Status</t>
        </is>
      </c>
    </row>
    <row r="5" ht="38" customHeight="1">
      <c r="B5" s="6" t="inlineStr">
        <is>
          <t>Scoring weights total 100%</t>
        </is>
      </c>
      <c r="C5" s="8" t="n">
        <v>1</v>
      </c>
      <c r="D5" s="8">
        <f>'Scoring Model'!C12</f>
        <v>1</v>
      </c>
      <c r="E5" s="6" t="str">
        <f>IF(ROUND(C5,4)=ROUND(D5,4),"PASS","FAIL")</f>
        <v>PASS</v>
      </c>
    </row>
    <row r="6" ht="38" customHeight="1">
      <c r="B6" s="7" t="inlineStr">
        <is>
          <t>Technique catalog count</t>
        </is>
      </c>
      <c r="C6" s="9" t="n">
        <v>40</v>
      </c>
      <c r="D6" s="9">
        <f>COUNTA('Technique Catalog'!B5:B44)</f>
        <v>40</v>
      </c>
      <c r="E6" s="7" t="str">
        <f>IF(ROUND(C6,2)=ROUND(D6,2),"PASS","FAIL")</f>
        <v>PASS</v>
      </c>
    </row>
    <row r="7" ht="38" customHeight="1">
      <c r="B7" s="6" t="inlineStr">
        <is>
          <t>Technique IDs unique (0 duplicates)</t>
        </is>
      </c>
      <c r="C7" s="8" t="n">
        <v>0</v>
      </c>
      <c r="D7" s="8">
        <f>SUMPRODUCT((COUNTIF('Technique Catalog'!B5:B44,'Technique Catalog'!B5:B44)&gt;1)*1)</f>
        <v>0</v>
      </c>
      <c r="E7" s="6" t="str">
        <f>IF(ROUND(C7,2)=ROUND(D7,2),"PASS","FAIL")</f>
        <v>PASS</v>
      </c>
    </row>
    <row r="8" ht="38" customHeight="1">
      <c r="B8" s="7" t="inlineStr">
        <is>
          <t>Build plan task count</t>
        </is>
      </c>
      <c r="C8" s="9" t="n">
        <v>38</v>
      </c>
      <c r="D8" s="9">
        <f>COUNTA('Build Plan'!B5:B42)</f>
        <v>38</v>
      </c>
      <c r="E8" s="7" t="str">
        <f>IF(ROUND(C8,2)=ROUND(D8,2),"PASS","FAIL")</f>
        <v>PASS</v>
      </c>
    </row>
    <row r="9" ht="38" customHeight="1">
      <c r="B9" s="6" t="inlineStr">
        <is>
          <t>Gantt integrity (start&lt;=end for all)</t>
        </is>
      </c>
      <c r="C9" s="8" t="n">
        <v>38</v>
      </c>
      <c r="D9" s="8">
        <f>SUMPRODUCT(('Build Plan'!F5:F42&lt;='Build Plan'!G5:G42)*1)</f>
        <v>38</v>
      </c>
      <c r="E9" s="6" t="str">
        <f>IF(ROUND(C9,2)=ROUND(D9,2),"PASS","FAIL")</f>
        <v>PASS</v>
      </c>
    </row>
    <row r="10" ht="38" customHeight="1">
      <c r="B10" s="7" t="inlineStr">
        <is>
          <t>KPI count</t>
        </is>
      </c>
      <c r="C10" s="9" t="n">
        <v>14</v>
      </c>
      <c r="D10" s="9">
        <f>COUNTA('KPI Tracker'!C5:C18)</f>
        <v>14</v>
      </c>
      <c r="E10" s="7" t="str">
        <f>IF(ROUND(C10,2)=ROUND(D10,2),"PASS","FAIL")</f>
        <v>PASS</v>
      </c>
    </row>
    <row r="11" ht="38" customHeight="1">
      <c r="B11" s="6" t="inlineStr">
        <is>
          <t>Risk count</t>
        </is>
      </c>
      <c r="C11" s="8" t="n">
        <v>10</v>
      </c>
      <c r="D11" s="8">
        <f>COUNTA('Risk Register'!B5:B14)</f>
        <v>10</v>
      </c>
      <c r="E11" s="6" t="str">
        <f>IF(ROUND(C11,2)=ROUND(D11,2),"PASS","FAIL")</f>
        <v>PASS</v>
      </c>
    </row>
    <row r="12" ht="38" customHeight="1">
      <c r="B12" s="7" t="inlineStr">
        <is>
          <t>Risk scores within 1-25</t>
        </is>
      </c>
      <c r="C12" s="9" t="n">
        <v>10</v>
      </c>
      <c r="D12" s="9">
        <f>SUMPRODUCT(('Risk Register'!G5:G14&gt;=1)*('Risk Register'!G5:G14&lt;=25))</f>
        <v>10</v>
      </c>
      <c r="E12" s="7" t="str">
        <f>IF(ROUND(C12,2)=ROUND(D12,2),"PASS","FAIL")</f>
        <v>PASS</v>
      </c>
    </row>
    <row r="13" ht="38" customHeight="1">
      <c r="B13" s="6" t="inlineStr">
        <is>
          <t>Agent roster count</t>
        </is>
      </c>
      <c r="C13" s="8" t="n">
        <v>14</v>
      </c>
      <c r="D13" s="8">
        <f>COUNTA('Agent Roster'!B5:B18)</f>
        <v>14</v>
      </c>
      <c r="E13" s="6" t="str">
        <f>IF(ROUND(C13,2)=ROUND(D13,2),"PASS","FAIL")</f>
        <v>PASS</v>
      </c>
    </row>
    <row r="14" ht="38" customHeight="1">
      <c r="B14" s="7" t="inlineStr">
        <is>
          <t>MCP server count</t>
        </is>
      </c>
      <c r="C14" s="9" t="n">
        <v>13</v>
      </c>
      <c r="D14" s="9">
        <f>COUNTA('MCP Integration'!B5:B17)</f>
        <v>13</v>
      </c>
      <c r="E14" s="7" t="str">
        <f>IF(ROUND(C14,2)=ROUND(D14,2),"PASS","FAIL")</f>
        <v>PASS</v>
      </c>
    </row>
    <row r="15" ht="102" customHeight="1">
      <c r="B15" s="6" t="inlineStr">
        <is>
          <t>Score recompute matches</t>
        </is>
      </c>
      <c r="C15" s="8">
        <f>ROUND('Scoring Model'!E6*'Scoring Model'!C6+'Scoring Model'!E7*'Scoring Model'!C7+'Scoring Model'!E8*'Scoring Model'!C8+'Scoring Model'!E9*'Scoring Model'!C9+'Scoring Model'!E10*'Scoring Model'!C10+'Scoring Model'!E11*'Scoring Model'!C11,1)</f>
        <v>46.5</v>
      </c>
      <c r="D15" s="8">
        <f>'Scoring Model'!F15</f>
        <v>46.5</v>
      </c>
      <c r="E15" s="6" t="str">
        <f>IF(ROUND(C15,2)=ROUND(D15,2),"PASS","FAIL")</f>
        <v>PASS</v>
      </c>
    </row>
    <row r="16" ht="38" customHeight="1">
      <c r="B16" s="7" t="inlineStr">
        <is>
          <t>Top risk score within 1-25</t>
        </is>
      </c>
      <c r="C16" s="9" t="n">
        <v>1</v>
      </c>
      <c r="D16" s="9">
        <f>IF(MAX('Risk Register'!G5:G14)&lt;=25,1,0)</f>
        <v>1</v>
      </c>
      <c r="E16" s="7" t="str">
        <f>IF(ROUND(C16,2)=ROUND(D16,2),"PASS","FAIL")</f>
        <v>PASS</v>
      </c>
    </row>
    <row r="17" ht="38" customHeight="1">
      <c r="B17" s="6" t="inlineStr">
        <is>
          <t>Console screen count</t>
        </is>
      </c>
      <c r="C17" s="8" t="n">
        <v>10</v>
      </c>
      <c r="D17" s="8">
        <f>COUNTA('Console UI'!B12:B21)</f>
        <v>10</v>
      </c>
      <c r="E17" s="6" t="str">
        <f>IF(ROUND(C17,2)=ROUND(D17,2),"PASS","FAIL")</f>
        <v>PASS</v>
      </c>
    </row>
    <row r="18" ht="38" customHeight="1">
      <c r="B18" s="7" t="inlineStr">
        <is>
          <t>Execution milestone count</t>
        </is>
      </c>
      <c r="C18" s="9" t="n">
        <v>12</v>
      </c>
      <c r="D18" s="9">
        <f>COUNTA('Exec Milestones'!B6:B17)</f>
        <v>12</v>
      </c>
      <c r="E18" s="7" t="str">
        <f>IF(ROUND(C18,2)=ROUND(D18,2),"PASS","FAIL")</f>
        <v>PASS</v>
      </c>
    </row>
    <row r="19" ht="38" customHeight="1">
      <c r="B19" s="6" t="inlineStr">
        <is>
          <t>Locked decisions count</t>
        </is>
      </c>
      <c r="C19" s="8" t="n">
        <v>9</v>
      </c>
      <c r="D19" s="8">
        <f>COUNTA('Context Memory'!B6:B14)</f>
        <v>9</v>
      </c>
      <c r="E19" s="6" t="str">
        <f>IF(ROUND(C19,2)=ROUND(D19,2),"PASS","FAIL")</f>
        <v>PASS</v>
      </c>
    </row>
    <row r="21">
      <c r="B21" s="2" t="inlineStr">
        <is>
          <t>Live formulas re-evaluate on any edit; bake step refreshes cached values for static viewers.</t>
        </is>
      </c>
    </row>
  </sheetData>
  <mergeCells count="1">
    <mergeCell ref="B2:E2"/>
  </mergeCells>
  <conditionalFormatting sqref="E5:E19">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0">
      <formula>"PASS"</formula>
    </cfRule>
    <cfRule type="cellIs" priority="5" operator="equal" dxfId="2">
      <formula>"FAIL"</formula>
    </cfRule>
    <cfRule type="cellIs" priority="6" operator="equal" dxfId="0">
      <formula>"On Target"</formula>
    </cfRule>
    <cfRule type="cellIs" priority="7" operator="equal" dxfId="1">
      <formula>"At Risk"</formula>
    </cfRule>
    <cfRule type="cellIs" priority="8" operator="equal" dxfId="2">
      <formula>"Off Target"</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52" customWidth="1" min="3" max="3"/>
    <col width="35" customWidth="1" min="4" max="4"/>
    <col width="52" customWidth="1" min="5" max="5"/>
  </cols>
  <sheetData>
    <row r="1" ht="15" customHeight="1"/>
    <row r="2" ht="32" customHeight="1">
      <c r="B2" s="1" t="inlineStr">
        <is>
          <t>Sources &amp; Data Provenance</t>
        </is>
      </c>
    </row>
    <row r="3" ht="8" customHeight="1"/>
    <row r="4" ht="28" customHeight="1">
      <c r="B4" s="5" t="inlineStr">
        <is>
          <t>#</t>
        </is>
      </c>
      <c r="C4" s="5" t="inlineStr">
        <is>
          <t>Data Point</t>
        </is>
      </c>
      <c r="D4" s="5" t="inlineStr">
        <is>
          <t>Source</t>
        </is>
      </c>
      <c r="E4" s="5" t="inlineStr">
        <is>
          <t>URL</t>
        </is>
      </c>
    </row>
    <row r="5" ht="70" customHeight="1">
      <c r="B5" s="8" t="n">
        <v>1</v>
      </c>
      <c r="C5" s="6" t="inlineStr">
        <is>
          <t>40% of enterprise apps with task-specific agents by end-2026; $234B spend at risk</t>
        </is>
      </c>
      <c r="D5" s="6" t="inlineStr">
        <is>
          <t>Gartner (Jul 2026)</t>
        </is>
      </c>
      <c r="E5" s="29" t="inlineStr">
        <is>
          <t>https://www.gartner.com/en/newsroom/press-releases/2026-07-01-gartner-says-us-dollars-234-billion-in-enterprise-application-software-spend-is-at-risk-from-agentic-artificial-intelligence</t>
        </is>
      </c>
    </row>
    <row r="6" ht="38" customHeight="1">
      <c r="B6" s="9" t="n">
        <v>2</v>
      </c>
      <c r="C6" s="7" t="inlineStr">
        <is>
          <t>AI red-teaming market ~$2.3B (2026) to $6.2B (2030), ~28% CAGR</t>
        </is>
      </c>
      <c r="D6" s="7" t="inlineStr">
        <is>
          <t>Market.US</t>
        </is>
      </c>
      <c r="E6" s="30" t="inlineStr">
        <is>
          <t>https://market.us/report/ai-red-teaming-services-market/</t>
        </is>
      </c>
    </row>
    <row r="7" ht="38" customHeight="1">
      <c r="B7" s="8" t="n">
        <v>3</v>
      </c>
      <c r="C7" s="6" t="inlineStr">
        <is>
          <t>LLM application top 10 risks (2025) — primary taxonomy</t>
        </is>
      </c>
      <c r="D7" s="6" t="inlineStr">
        <is>
          <t>OWASP GenAI Security Project</t>
        </is>
      </c>
      <c r="E7" s="29" t="inlineStr">
        <is>
          <t>https://genai.owasp.org/</t>
        </is>
      </c>
    </row>
    <row r="8" ht="38" customHeight="1">
      <c r="B8" s="9" t="n">
        <v>4</v>
      </c>
      <c r="C8" s="7" t="inlineStr">
        <is>
          <t>Top 10 for agentic applications (2026) — agent-specific risks</t>
        </is>
      </c>
      <c r="D8" s="7" t="inlineStr">
        <is>
          <t>OWASP Agentic Security Initiative</t>
        </is>
      </c>
      <c r="E8" s="30" t="inlineStr">
        <is>
          <t>https://genai.owasp.org/agentic-top-10/</t>
        </is>
      </c>
    </row>
    <row r="9" ht="22" customHeight="1">
      <c r="B9" s="8" t="n">
        <v>5</v>
      </c>
      <c r="C9" s="6" t="inlineStr">
        <is>
          <t>Adversarial ML threat taxonomy (ATLAS)</t>
        </is>
      </c>
      <c r="D9" s="6" t="inlineStr">
        <is>
          <t>MITRE ATLAS</t>
        </is>
      </c>
      <c r="E9" s="29" t="inlineStr">
        <is>
          <t>https://atlas.mitre.org/</t>
        </is>
      </c>
    </row>
    <row r="10" ht="38" customHeight="1">
      <c r="B10" s="9" t="n">
        <v>6</v>
      </c>
      <c r="C10" s="7" t="inlineStr">
        <is>
          <t>Adversarial machine learning taxonomy and metrics</t>
        </is>
      </c>
      <c r="D10" s="7" t="inlineStr">
        <is>
          <t>NIST AI 100-2.5</t>
        </is>
      </c>
      <c r="E10" s="30" t="inlineStr">
        <is>
          <t>https://csrc.nist.gov/pubs/ai/100/2/5/final</t>
        </is>
      </c>
    </row>
    <row r="11" ht="38" customHeight="1">
      <c r="B11" s="8" t="n">
        <v>7</v>
      </c>
      <c r="C11" s="6" t="inlineStr">
        <is>
          <t>AI risk management framework + Generative AI profile</t>
        </is>
      </c>
      <c r="D11" s="6" t="inlineStr">
        <is>
          <t>NIST AI RMF</t>
        </is>
      </c>
      <c r="E11" s="29" t="inlineStr">
        <is>
          <t>https://www.nist.gov/itl/ai-risk-management-framework</t>
        </is>
      </c>
    </row>
    <row r="12" ht="38" customHeight="1">
      <c r="B12" s="9" t="n">
        <v>8</v>
      </c>
      <c r="C12" s="7" t="inlineStr">
        <is>
          <t>AI robustness/cybersecurity evidence duties (Art 15, Annex I)</t>
        </is>
      </c>
      <c r="D12" s="7" t="inlineStr">
        <is>
          <t>EU AI Act (enforcement Aug 2026)</t>
        </is>
      </c>
      <c r="E12" s="30" t="inlineStr">
        <is>
          <t>https://artificialintelligenceact.eu/</t>
        </is>
      </c>
    </row>
    <row r="13" ht="22" customHeight="1">
      <c r="B13" s="8" t="n">
        <v>9</v>
      </c>
      <c r="C13" s="6" t="inlineStr">
        <is>
          <t>AI management system certifiable controls</t>
        </is>
      </c>
      <c r="D13" s="6" t="inlineStr">
        <is>
          <t>ISO/IEC 42001</t>
        </is>
      </c>
      <c r="E13" s="29" t="inlineStr">
        <is>
          <t>https://www.iso.org/standard/42001</t>
        </is>
      </c>
    </row>
    <row r="14" ht="38" customHeight="1">
      <c r="B14" s="9" t="n">
        <v>10</v>
      </c>
      <c r="C14" s="7" t="inlineStr">
        <is>
          <t>AI red-team orchestration (multi-turn, memory, scoring)</t>
        </is>
      </c>
      <c r="D14" s="7" t="inlineStr">
        <is>
          <t>Microsoft PyRIT</t>
        </is>
      </c>
      <c r="E14" s="30" t="inlineStr">
        <is>
          <t>https://github.com/Azure/PyRIT</t>
        </is>
      </c>
    </row>
    <row r="15" ht="38" customHeight="1">
      <c r="B15" s="8" t="n">
        <v>11</v>
      </c>
      <c r="C15" s="6" t="inlineStr">
        <is>
          <t>LLM vulnerability probes (encoding, policy, leak probes)</t>
        </is>
      </c>
      <c r="D15" s="6" t="inlineStr">
        <is>
          <t>NVIDIA Garak</t>
        </is>
      </c>
      <c r="E15" s="29" t="inlineStr">
        <is>
          <t>https://github.com/NVIDIA/garak</t>
        </is>
      </c>
    </row>
    <row r="16" ht="22" customHeight="1">
      <c r="B16" s="9" t="n">
        <v>12</v>
      </c>
      <c r="C16" s="7" t="inlineStr">
        <is>
          <t>Red-team test suites + CI regression</t>
        </is>
      </c>
      <c r="D16" s="7" t="inlineStr">
        <is>
          <t>promptfoo</t>
        </is>
      </c>
      <c r="E16" s="30" t="inlineStr">
        <is>
          <t>https://www.promptfoo.dev/</t>
        </is>
      </c>
    </row>
    <row r="17" ht="22" customHeight="1">
      <c r="B17" s="8" t="n">
        <v>13</v>
      </c>
      <c r="C17" s="6" t="inlineStr">
        <is>
          <t>LLM scanning (injection, hallucination, PII)</t>
        </is>
      </c>
      <c r="D17" s="6" t="inlineStr">
        <is>
          <t>Giskard</t>
        </is>
      </c>
      <c r="E17" s="29" t="inlineStr">
        <is>
          <t>https://github.com/Giskard-AI/giskard</t>
        </is>
      </c>
    </row>
    <row r="18" ht="38" customHeight="1">
      <c r="B18" s="9" t="n">
        <v>14</v>
      </c>
      <c r="C18" s="7" t="inlineStr">
        <is>
          <t>Guardrail fingerprinting / bypass economics reference</t>
        </is>
      </c>
      <c r="D18" s="7" t="inlineStr">
        <is>
          <t>Lakera (market reference)</t>
        </is>
      </c>
      <c r="E18" s="30" t="inlineStr">
        <is>
          <t>https://lakera.ai/</t>
        </is>
      </c>
    </row>
    <row r="19" ht="38" customHeight="1">
      <c r="B19" s="8" t="n">
        <v>15</v>
      </c>
      <c r="C19" s="6" t="inlineStr">
        <is>
          <t>CSA agentic red-teaming guidance incl. tool misuse testing</t>
        </is>
      </c>
      <c r="D19" s="6" t="inlineStr">
        <is>
          <t>Cloud Security Alliance</t>
        </is>
      </c>
      <c r="E19" s="29" t="inlineStr">
        <is>
          <t>https://cloudsecurityalliance.org/</t>
        </is>
      </c>
    </row>
    <row r="21">
      <c r="B21" s="2" t="inlineStr">
        <is>
          <t>Directional planning estimates prepared Sep 2026. Validate market figures before board or pricing use. Sensitive techniques (marked in Technique Catalog) execute only under signed ROAI with budget caps. Tools are anchor picks, not endorsements.</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2026-09-11T12:12:35Z</dcterms:created>
  <dcterms:modified xmlns:dcterms="http://purl.org/dc/terms/" xmlns:xsi="http://www.w3.org/2001/XMLSchema-instance" xsi:type="dcterms:W3CDTF">2026-09-11T12:12:36Z</dcterms:modified>
</cp:coreProperties>
</file>